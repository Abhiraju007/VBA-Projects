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hd\Desktop\Birendra Mishra\VBA-Projects-main\SalesReporting\"/>
    </mc:Choice>
  </mc:AlternateContent>
  <xr:revisionPtr revIDLastSave="0" documentId="13_ncr:1_{98FA00A3-FD6B-4EB4-9452-7C61CA4311A7}" xr6:coauthVersionLast="47" xr6:coauthVersionMax="47" xr10:uidLastSave="{00000000-0000-0000-0000-000000000000}"/>
  <bookViews>
    <workbookView xWindow="-120" yWindow="-120" windowWidth="20730" windowHeight="11160" activeTab="1" xr2:uid="{00000000-000D-0000-FFFF-FFFF00000000}"/>
  </bookViews>
  <sheets>
    <sheet name="Instructions" sheetId="11" r:id="rId1"/>
    <sheet name="Start" sheetId="6" r:id="rId2"/>
    <sheet name="Summary" sheetId="3" r:id="rId3"/>
    <sheet name="RegionTemp" sheetId="7" r:id="rId4"/>
    <sheet name="Map" sheetId="2" r:id="rId5"/>
    <sheet name="NewData" sheetId="4" r:id="rId6"/>
  </sheets>
  <definedNames>
    <definedName name="_xlnm._FilterDatabase" localSheetId="2" hidden="1">Summary!$A$1:$H$1</definedName>
    <definedName name="MRegion">Map!$G$9:$G$10</definedName>
    <definedName name="Slicer_Company_Name">#N/A</definedName>
  </definedNames>
  <calcPr calcId="191029"/>
  <pivotCaches>
    <pivotCache cacheId="5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I2" i="7" l="1"/>
  <c r="L2" i="7" l="1"/>
  <c r="M2" i="7" s="1"/>
  <c r="J2" i="7" l="1"/>
  <c r="K2" i="7"/>
</calcChain>
</file>

<file path=xl/sharedStrings.xml><?xml version="1.0" encoding="utf-8"?>
<sst xmlns="http://schemas.openxmlformats.org/spreadsheetml/2006/main" count="328" uniqueCount="117">
  <si>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</si>
  <si>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</si>
  <si>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</si>
  <si>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</si>
  <si>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</si>
  <si>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</si>
  <si>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</si>
  <si>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</si>
  <si>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</si>
  <si>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</si>
  <si>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</si>
  <si>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</si>
  <si>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</si>
  <si>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</si>
  <si>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</si>
  <si>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</si>
  <si>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</si>
  <si>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</si>
  <si>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</si>
  <si>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</si>
  <si>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</si>
  <si>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</si>
  <si>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</si>
  <si>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</si>
  <si>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</si>
  <si>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</si>
  <si>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</si>
  <si>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</si>
  <si>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</si>
  <si>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</si>
  <si>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</si>
  <si>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</si>
  <si>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</si>
  <si>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</si>
  <si>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</si>
  <si>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</si>
  <si>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</si>
  <si>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</si>
  <si>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</si>
  <si>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</si>
  <si>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</si>
  <si>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</si>
  <si>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</si>
  <si>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</si>
  <si>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</si>
  <si>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</si>
  <si>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</si>
  <si>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</si>
  <si>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</si>
  <si>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</si>
  <si>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</si>
  <si>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</si>
  <si>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</si>
  <si>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</si>
  <si>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</si>
  <si>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</si>
  <si>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</si>
  <si>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</si>
  <si>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</si>
  <si>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</si>
  <si>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</si>
  <si>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</si>
  <si>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</si>
  <si>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</si>
  <si>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</si>
  <si>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</si>
  <si>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</si>
  <si>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</si>
  <si>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</si>
  <si>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</si>
  <si>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</si>
  <si>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</si>
  <si>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</si>
  <si>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</si>
  <si>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</si>
  <si>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Aim of the tool</t>
  </si>
  <si>
    <t>Internal code</t>
  </si>
  <si>
    <t>Edson Total</t>
  </si>
  <si>
    <t>Regions</t>
  </si>
  <si>
    <t>Werner Strauss</t>
  </si>
  <si>
    <t>Aida GmbH</t>
  </si>
  <si>
    <t>Liebher</t>
  </si>
  <si>
    <t>Aida GmbH Total</t>
  </si>
  <si>
    <t>Werner Strauss Total</t>
  </si>
  <si>
    <t>Bere Kleid Total</t>
  </si>
  <si>
    <t>• An interactive Pivot based regional report for the regional managers of USA and Europe</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</si>
  <si>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</si>
  <si>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</si>
  <si>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</si>
  <si>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</si>
  <si>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</si>
  <si>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</si>
  <si>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At the end of each month you receive system extracts for each company that covers some key sales &amp; customer parameters.</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</si>
  <si>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</si>
  <si>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</si>
  <si>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</si>
  <si>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</si>
  <si>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Sales in US Dollar</t>
  </si>
  <si>
    <t xml:space="preserve"> Quantity</t>
  </si>
  <si>
    <r>
      <t>Time savings:</t>
    </r>
    <r>
      <rPr>
        <sz val="11"/>
        <color rgb="FF92D050"/>
        <rFont val="Arial"/>
        <family val="2"/>
        <scheme val="minor"/>
      </rPr>
      <t xml:space="preserve"> 3 plus hours</t>
    </r>
  </si>
  <si>
    <t>Liebher Total</t>
  </si>
  <si>
    <t>Lucas Basics Total</t>
  </si>
  <si>
    <t>All of this will cost you a lot of time if done manually (possibly around 3 hours - plus data changes are not uncommon)</t>
  </si>
  <si>
    <t>Sometimes you have to repeat the whole process because wrong data was sent;</t>
  </si>
  <si>
    <t>C11</t>
  </si>
  <si>
    <t>C14</t>
  </si>
  <si>
    <t>C19</t>
  </si>
  <si>
    <t>C18</t>
  </si>
  <si>
    <t>C10</t>
  </si>
  <si>
    <t>C17</t>
  </si>
  <si>
    <t>C13</t>
  </si>
  <si>
    <t>C16</t>
  </si>
  <si>
    <t>C12</t>
  </si>
  <si>
    <t>C20</t>
  </si>
  <si>
    <t>C15</t>
  </si>
  <si>
    <t>- You are a Sales Controller working at the headquarters of Pandey Creations.</t>
  </si>
  <si>
    <t>- Pandey Creations owns 4 companies. 2 are in the USA and 2 are in Europe.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</si>
</sst>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0"/>
        <bgColor indexed="64"/>
      </patternFill>
    </fill>
  </fills>
  <borders count="9">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1">
    <xf numFmtId="0" fontId="0" fillId="0" borderId="0"/>
  </cellStyleXfs>
  <cellXfs count="56">
    <xf numFmtId="0" fontId="0" fillId="0" borderId="0" xfId="0"/>
    <xf numFmtId="0" fontId="3" fillId="0" borderId="0" xfId="0" applyFont="1"/>
    <xf numFmtId="0" fontId="0" fillId="2" borderId="0" xfId="0" applyFill="1" applyBorder="1"/>
    <xf numFmtId="0" fontId="4" fillId="2" borderId="0" xfId="0" applyFont="1" applyFill="1" applyBorder="1"/>
    <xf numFmtId="0" fontId="0" fillId="0" borderId="1" xfId="0" applyBorder="1"/>
    <xf numFmtId="49" fontId="5" fillId="3" borderId="0" xfId="0" applyNumberFormat="1" applyFont="1" applyFill="1" applyBorder="1" applyAlignment="1">
      <alignment horizontal="left" vertical="center" wrapText="1"/>
    </xf>
    <xf numFmtId="0" fontId="4" fillId="4" borderId="2" xfId="0" applyNumberFormat="1" applyFont="1" applyFill="1" applyBorder="1" applyAlignment="1" applyProtection="1">
      <alignment horizontal="center" vertical="center" wrapText="1"/>
      <protection locked="0"/>
    </xf>
    <xf numFmtId="0" fontId="6" fillId="0" borderId="0" xfId="0" applyFont="1"/>
    <xf numFmtId="0" fontId="8" fillId="0" borderId="0" xfId="0" applyFont="1"/>
    <xf numFmtId="14" fontId="0" fillId="0" borderId="0" xfId="0" applyNumberFormat="1"/>
    <xf numFmtId="0" fontId="7" fillId="5" borderId="0" xfId="0" applyFont="1" applyFill="1" applyBorder="1" applyAlignment="1">
      <alignment horizontal="center" vertical="center" wrapText="1"/>
    </xf>
    <xf numFmtId="0" fontId="8" fillId="0" borderId="0" xfId="0" applyFont="1" applyBorder="1"/>
    <xf numFmtId="0" fontId="0" fillId="0" borderId="0" xfId="0" applyNumberFormat="1" applyFont="1" applyProtection="1"/>
    <xf numFmtId="0" fontId="7" fillId="6" borderId="0" xfId="0" applyFont="1" applyFill="1" applyBorder="1" applyAlignment="1">
      <alignment horizontal="center" vertical="center" wrapText="1"/>
    </xf>
    <xf numFmtId="0" fontId="7" fillId="6" borderId="0" xfId="0" applyFont="1" applyFill="1" applyAlignment="1">
      <alignment horizontal="center" vertical="center" wrapText="1"/>
    </xf>
    <xf numFmtId="0" fontId="0" fillId="0" borderId="0" xfId="0" applyBorder="1"/>
    <xf numFmtId="0" fontId="0" fillId="0" borderId="0" xfId="0" applyNumberFormat="1" applyBorder="1"/>
    <xf numFmtId="0" fontId="0" fillId="0" borderId="0" xfId="0" applyNumberFormat="1"/>
    <xf numFmtId="2" fontId="0" fillId="0" borderId="0" xfId="0" applyNumberFormat="1" applyFont="1" applyProtection="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11" fillId="7" borderId="0" xfId="0" applyFont="1" applyFill="1"/>
    <xf numFmtId="0" fontId="11"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11" fillId="0" borderId="0" xfId="0" applyFont="1" applyFill="1"/>
    <xf numFmtId="0" fontId="0" fillId="0" borderId="4" xfId="0" applyBorder="1"/>
    <xf numFmtId="165" fontId="0" fillId="0" borderId="0" xfId="0" applyNumberFormat="1"/>
    <xf numFmtId="0" fontId="10" fillId="7" borderId="0" xfId="0" applyFont="1" applyFill="1"/>
    <xf numFmtId="0" fontId="11" fillId="7" borderId="0" xfId="0" applyFont="1" applyFill="1" applyAlignment="1">
      <alignment horizontal="center" vertical="center"/>
    </xf>
    <xf numFmtId="0" fontId="12" fillId="0" borderId="5" xfId="0" applyNumberFormat="1" applyFont="1" applyBorder="1"/>
    <xf numFmtId="0" fontId="0" fillId="0" borderId="5" xfId="0" applyNumberFormat="1" applyBorder="1"/>
    <xf numFmtId="0" fontId="13" fillId="0" borderId="0" xfId="0" applyFont="1" applyProtection="1">
      <protection locked="0"/>
    </xf>
    <xf numFmtId="0" fontId="0" fillId="0" borderId="0" xfId="0" applyProtection="1">
      <protection locked="0"/>
    </xf>
    <xf numFmtId="0" fontId="0" fillId="6" borderId="0" xfId="0" applyFill="1"/>
    <xf numFmtId="0" fontId="0" fillId="8" borderId="2" xfId="0" applyFill="1" applyBorder="1"/>
    <xf numFmtId="0" fontId="14" fillId="8" borderId="6" xfId="0" quotePrefix="1" applyFont="1" applyFill="1" applyBorder="1"/>
    <xf numFmtId="0" fontId="14" fillId="8" borderId="6" xfId="0" applyFont="1" applyFill="1" applyBorder="1"/>
    <xf numFmtId="0" fontId="0" fillId="8" borderId="6" xfId="0" applyFill="1" applyBorder="1"/>
    <xf numFmtId="0" fontId="0" fillId="8" borderId="0" xfId="0" applyFill="1"/>
    <xf numFmtId="0" fontId="0" fillId="8" borderId="7" xfId="0" applyFill="1" applyBorder="1"/>
    <xf numFmtId="0" fontId="0" fillId="8" borderId="6" xfId="0" quotePrefix="1" applyFill="1" applyBorder="1"/>
    <xf numFmtId="0" fontId="0" fillId="8" borderId="8" xfId="0" applyFill="1" applyBorder="1"/>
    <xf numFmtId="0" fontId="0" fillId="8" borderId="6" xfId="0" applyFill="1" applyBorder="1" applyAlignment="1">
      <alignment horizontal="left" indent="2"/>
    </xf>
    <xf numFmtId="0" fontId="15" fillId="8" borderId="6" xfId="0" applyFont="1" applyFill="1" applyBorder="1"/>
    <xf numFmtId="0" fontId="2" fillId="8" borderId="6" xfId="0" applyFont="1" applyFill="1" applyBorder="1"/>
    <xf numFmtId="0" fontId="0" fillId="0" borderId="0" xfId="0" applyAlignment="1">
      <alignment horizontal="center"/>
    </xf>
    <xf numFmtId="0" fontId="1" fillId="8" borderId="6" xfId="0" applyFont="1" applyFill="1" applyBorder="1"/>
    <xf numFmtId="0" fontId="0" fillId="0" borderId="1" xfId="0" applyBorder="1" applyProtection="1">
      <protection locked="0"/>
    </xf>
  </cellXfs>
  <cellStyles count="1">
    <cellStyle name="Normal" xfId="0" builtinId="0" customBuiltin="1"/>
  </cellStyles>
  <dxfs count="51">
    <dxf>
      <font>
        <b/>
        <i val="0"/>
        <strike val="0"/>
        <condense val="0"/>
        <extend val="0"/>
        <outline val="0"/>
        <shadow val="0"/>
        <u val="none"/>
        <vertAlign val="baseline"/>
        <sz val="10"/>
        <color indexed="9"/>
        <name val="Arial"/>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809749"/>
          <a:ext cx="2078181" cy="871106"/>
          <a:chOff x="168853" y="1783772"/>
          <a:chExt cx="2238376"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4" cy="393123"/>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230091" y="1762125"/>
          <a:ext cx="1543916" cy="880629"/>
          <a:chOff x="5602432" y="1736148"/>
          <a:chExt cx="1639165"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1" y="2061730"/>
                <a:ext cx="1196686" cy="393123"/>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373216" y="2541443"/>
          <a:ext cx="1930112" cy="910071"/>
          <a:chOff x="7875444" y="2329296"/>
          <a:chExt cx="2120613"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1" y="2578678"/>
                <a:ext cx="1580286" cy="490104"/>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9</xdr:col>
      <xdr:colOff>502228</xdr:colOff>
      <xdr:row>0</xdr:row>
      <xdr:rowOff>77932</xdr:rowOff>
    </xdr:from>
    <xdr:ext cx="4087091" cy="39831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70023" y="77932"/>
          <a:ext cx="4087091" cy="398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Abhishek</a:t>
          </a:r>
          <a:r>
            <a:rPr lang="en-US" sz="2000" baseline="0">
              <a:solidFill>
                <a:schemeClr val="tx1"/>
              </a:solidFill>
              <a:latin typeface="Matura MT Script Capitals" panose="03020802060602070202" pitchFamily="66" charset="0"/>
            </a:rPr>
            <a:t> Pandey</a:t>
          </a:r>
          <a:r>
            <a:rPr lang="en-US" sz="2000">
              <a:solidFill>
                <a:schemeClr val="tx1"/>
              </a:solidFill>
              <a:latin typeface="Matura MT Script Capitals" panose="03020802060602070202" pitchFamily="66" charset="0"/>
            </a:rPr>
            <a:t> Creations</a:t>
          </a: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123825</xdr:rowOff>
        </xdr:from>
        <xdr:to>
          <xdr:col>6</xdr:col>
          <xdr:colOff>447675</xdr:colOff>
          <xdr:row>15</xdr:row>
          <xdr:rowOff>19050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463512" y="1840056"/>
          <a:ext cx="1937904" cy="871106"/>
          <a:chOff x="2623706" y="1809750"/>
          <a:chExt cx="2063462"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5" y="1966480"/>
                <a:ext cx="1369003" cy="385329"/>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389668" y="1930977"/>
          <a:ext cx="1914959" cy="871106"/>
          <a:chOff x="7914410" y="1900671"/>
          <a:chExt cx="2095935"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7" y="2118880"/>
                <a:ext cx="1565998" cy="426461"/>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d" refreshedDate="44878.815601620372" createdVersion="6" refreshedVersion="7"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50" applyNumberFormats="0" applyBorderFormats="0" applyFontFormats="0" applyPatternFormats="0" applyAlignmentFormats="0" applyWidthHeightFormats="1" dataCaption="Values" grandTotalCaption="Total" updatedVersion="7"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7"/>
        <item x="0"/>
        <item m="1" x="5"/>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1">
      <pivotArea dataOnly="0" labelOnly="1"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x v="1"/>
          </reference>
        </references>
      </pivotArea>
    </format>
    <format dxfId="18">
      <pivotArea dataOnly="0" labelOnly="1" outline="0" fieldPosition="0">
        <references count="1">
          <reference field="4294967294" count="2">
            <x v="0"/>
            <x v="1"/>
          </reference>
        </references>
      </pivotArea>
    </format>
    <format dxfId="17">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Article" cacheId="50" applyNumberFormats="0" applyBorderFormats="0" applyFontFormats="0" applyPatternFormats="0" applyAlignmentFormats="0" applyWidthHeightFormats="1" dataCaption="Values" grandTotalCaption="Total" updatedVersion="7"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7"/>
        <item x="0"/>
        <item m="1" x="5"/>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Region" cacheId="50" applyNumberFormats="0" applyBorderFormats="0" applyFontFormats="0" applyPatternFormats="0" applyAlignmentFormats="0" applyWidthHeightFormats="1" dataCaption="Values" grandTotalCaption="Total" updatedVersion="7"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33">
      <pivotArea dataOnly="0" labelOnly="1" outline="0" axis="axisValues" fieldPosition="0"/>
    </format>
    <format dxfId="32">
      <pivotArea dataOnly="0" labelOnly="1" outline="0" axis="axisValues" fieldPosition="0"/>
    </format>
    <format dxfId="31">
      <pivotArea outline="0" fieldPosition="0">
        <references count="1">
          <reference field="4294967294" count="1">
            <x v="1"/>
          </reference>
        </references>
      </pivotArea>
    </format>
    <format dxfId="30">
      <pivotArea outline="0" fieldPosition="0">
        <references count="1">
          <reference field="4294967294" count="1">
            <x v="1"/>
          </reference>
        </references>
      </pivotArea>
    </format>
    <format dxfId="29">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Manager" cacheId="50" applyNumberFormats="0" applyBorderFormats="0" applyFontFormats="0" applyPatternFormats="0" applyAlignmentFormats="0" applyWidthHeightFormats="1" dataCaption="Values" grandTotalCaption="Total" updatedVersion="7"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 dxfId="34">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i x="7" s="1" nd="1"/>
        <i x="5"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6" dataDxfId="15">
  <tableColumns count="13">
    <tableColumn id="1" xr3:uid="{00000000-0010-0000-0000-000001000000}" name="Company" dataDxfId="1"/>
    <tableColumn id="2" xr3:uid="{00000000-0010-0000-0000-000002000000}" name="Sales Document" dataDxfId="14"/>
    <tableColumn id="3" xr3:uid="{00000000-0010-0000-0000-000003000000}" name="Document Date" dataDxfId="0"/>
    <tableColumn id="4" xr3:uid="{00000000-0010-0000-0000-000004000000}" name="Customer Code" dataDxfId="13"/>
    <tableColumn id="5" xr3:uid="{00000000-0010-0000-0000-000005000000}" name="Article code" dataDxfId="12"/>
    <tableColumn id="6" xr3:uid="{00000000-0010-0000-0000-000006000000}" name="Reject" dataDxfId="11"/>
    <tableColumn id="7" xr3:uid="{00000000-0010-0000-0000-000007000000}" name="Quantity" dataDxfId="10"/>
    <tableColumn id="8" xr3:uid="{00000000-0010-0000-0000-000008000000}" name="Sales Local Currency" dataDxfId="9"/>
    <tableColumn id="9" xr3:uid="{00000000-0010-0000-0000-000009000000}" name="Company Name" dataDxfId="8">
      <calculatedColumnFormula>VLOOKUP(A2,MCompany[],2,FALSE)</calculatedColumnFormula>
    </tableColumn>
    <tableColumn id="10" xr3:uid="{00000000-0010-0000-0000-00000A000000}" name="Customer Name" dataDxfId="7">
      <calculatedColumnFormula>VLOOKUP(TableTemp[[#This Row],[Customer Code]],MCustomer[],2,FALSE)</calculatedColumnFormula>
    </tableColumn>
    <tableColumn id="11" xr3:uid="{00000000-0010-0000-0000-00000B000000}" name="Article Description" dataDxfId="6">
      <calculatedColumnFormula>VLOOKUP(TableTemp[[#This Row],[Article code]],MArticle[],2,FALSE)</calculatedColumnFormula>
    </tableColumn>
    <tableColumn id="13" xr3:uid="{00000000-0010-0000-0000-00000D000000}" name="Currency" dataDxfId="5">
      <calculatedColumnFormula>VLOOKUP(TableTemp[[#This Row],[Company]],MCompany[],3,FALSE)</calculatedColumnFormula>
    </tableColumn>
    <tableColumn id="12" xr3:uid="{00000000-0010-0000-0000-00000C000000}" name="Sales US Dollar" dataDxfId="4">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3">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2"/>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249977111117893"/>
  </sheetPr>
  <dimension ref="A1:P55"/>
  <sheetViews>
    <sheetView workbookViewId="0">
      <selection activeCell="C11" sqref="C11"/>
    </sheetView>
  </sheetViews>
  <sheetFormatPr defaultColWidth="0" defaultRowHeight="12.75" zeroHeight="1" x14ac:dyDescent="0.2"/>
  <cols>
    <col min="1" max="1" width="1.42578125" style="46" customWidth="1"/>
    <col min="2" max="2" width="3.140625" style="46" customWidth="1"/>
    <col min="3" max="13" width="9.140625" style="46" customWidth="1"/>
    <col min="14" max="14" width="12.5703125" style="46" customWidth="1"/>
    <col min="15" max="15" width="2.28515625" style="46" customWidth="1"/>
    <col min="16" max="16" width="2.5703125" style="46" customWidth="1"/>
    <col min="17" max="16384" width="9" hidden="1"/>
  </cols>
  <sheetData>
    <row r="1" spans="1:16" x14ac:dyDescent="0.2">
      <c r="A1" s="41"/>
      <c r="B1" s="41"/>
      <c r="C1" s="41"/>
      <c r="D1" s="41"/>
      <c r="E1" s="41"/>
      <c r="F1" s="41"/>
      <c r="G1" s="41"/>
      <c r="H1" s="41"/>
      <c r="I1" s="41"/>
      <c r="J1" s="41"/>
      <c r="K1" s="41"/>
      <c r="L1" s="41"/>
      <c r="M1" s="41"/>
      <c r="N1" s="41"/>
      <c r="O1" s="41"/>
      <c r="P1" s="41"/>
    </row>
    <row r="2" spans="1:16" x14ac:dyDescent="0.2">
      <c r="A2" s="41"/>
      <c r="B2" s="41"/>
      <c r="C2" s="41"/>
      <c r="D2" s="41"/>
      <c r="E2" s="41"/>
      <c r="F2" s="41"/>
      <c r="G2" s="41"/>
      <c r="H2" s="41"/>
      <c r="I2" s="41"/>
      <c r="J2" s="41"/>
      <c r="K2" s="41"/>
      <c r="L2" s="41"/>
      <c r="M2" s="41"/>
      <c r="N2" s="41"/>
      <c r="O2" s="41"/>
      <c r="P2" s="41"/>
    </row>
    <row r="3" spans="1:16" x14ac:dyDescent="0.2">
      <c r="A3" s="41"/>
      <c r="B3" s="41"/>
      <c r="C3" s="41"/>
      <c r="D3" s="41"/>
      <c r="E3" s="41"/>
      <c r="F3" s="41"/>
      <c r="G3" s="41"/>
      <c r="H3" s="41"/>
      <c r="I3" s="41"/>
      <c r="J3" s="41"/>
      <c r="K3" s="41"/>
      <c r="L3" s="41"/>
      <c r="M3" s="41"/>
      <c r="N3" s="41"/>
      <c r="O3" s="41"/>
      <c r="P3" s="41"/>
    </row>
    <row r="4" spans="1:16" x14ac:dyDescent="0.2">
      <c r="A4" s="41"/>
      <c r="B4" s="42"/>
      <c r="C4" s="42"/>
      <c r="D4" s="42"/>
      <c r="E4" s="42"/>
      <c r="F4" s="42"/>
      <c r="G4" s="42"/>
      <c r="H4" s="42"/>
      <c r="I4" s="42"/>
      <c r="J4" s="42"/>
      <c r="K4" s="42"/>
      <c r="L4" s="42"/>
      <c r="M4" s="42"/>
      <c r="N4" s="42"/>
      <c r="O4" s="41"/>
      <c r="P4" s="41"/>
    </row>
    <row r="5" spans="1:16" ht="18" x14ac:dyDescent="0.25">
      <c r="A5" s="41"/>
      <c r="B5" s="43"/>
      <c r="C5" s="44" t="s">
        <v>86</v>
      </c>
      <c r="D5" s="45"/>
      <c r="E5" s="45"/>
      <c r="F5" s="45"/>
      <c r="G5" s="45"/>
      <c r="H5" s="45"/>
      <c r="I5" s="45"/>
      <c r="J5" s="45"/>
      <c r="K5" s="45"/>
      <c r="L5" s="45"/>
      <c r="M5" s="45"/>
      <c r="N5" s="45"/>
      <c r="O5" s="41"/>
      <c r="P5" s="41"/>
    </row>
    <row r="6" spans="1:16" x14ac:dyDescent="0.2">
      <c r="A6" s="41"/>
      <c r="B6" s="45"/>
      <c r="C6" s="45"/>
      <c r="D6" s="45"/>
      <c r="E6" s="45"/>
      <c r="F6" s="45"/>
      <c r="G6" s="45"/>
      <c r="H6" s="45"/>
      <c r="I6" s="45"/>
      <c r="J6" s="45"/>
      <c r="K6" s="45"/>
      <c r="L6" s="45"/>
      <c r="M6" s="45"/>
      <c r="N6" s="45"/>
      <c r="O6" s="41"/>
      <c r="P6" s="41"/>
    </row>
    <row r="7" spans="1:16" x14ac:dyDescent="0.2">
      <c r="A7" s="41"/>
      <c r="B7" s="45"/>
      <c r="C7" s="48" t="s">
        <v>115</v>
      </c>
      <c r="D7" s="45"/>
      <c r="E7" s="45"/>
      <c r="F7" s="45"/>
      <c r="G7" s="45"/>
      <c r="H7" s="45"/>
      <c r="I7" s="45"/>
      <c r="J7" s="45"/>
      <c r="K7" s="45"/>
      <c r="L7" s="45"/>
      <c r="M7" s="45"/>
      <c r="N7" s="45"/>
      <c r="O7" s="41"/>
      <c r="P7" s="41"/>
    </row>
    <row r="8" spans="1:16" x14ac:dyDescent="0.2">
      <c r="A8" s="41"/>
      <c r="B8" s="45"/>
      <c r="C8" s="48" t="s">
        <v>116</v>
      </c>
      <c r="D8" s="45"/>
      <c r="E8" s="45"/>
      <c r="F8" s="45"/>
      <c r="G8" s="45"/>
      <c r="H8" s="45"/>
      <c r="I8" s="45"/>
      <c r="J8" s="45"/>
      <c r="K8" s="45"/>
      <c r="L8" s="45"/>
      <c r="M8" s="45"/>
      <c r="N8" s="45"/>
      <c r="O8" s="41"/>
      <c r="P8" s="41"/>
    </row>
    <row r="9" spans="1:16" x14ac:dyDescent="0.2">
      <c r="A9" s="41"/>
      <c r="B9" s="45"/>
      <c r="C9" s="48" t="s">
        <v>92</v>
      </c>
      <c r="D9" s="45"/>
      <c r="E9" s="45"/>
      <c r="F9" s="45"/>
      <c r="G9" s="45"/>
      <c r="H9" s="45"/>
      <c r="I9" s="45"/>
      <c r="J9" s="45"/>
      <c r="K9" s="45"/>
      <c r="L9" s="45"/>
      <c r="M9" s="45"/>
      <c r="N9" s="45"/>
      <c r="O9" s="41"/>
      <c r="P9" s="41"/>
    </row>
    <row r="10" spans="1:16" x14ac:dyDescent="0.2">
      <c r="A10" s="41"/>
      <c r="B10" s="45"/>
      <c r="C10" s="48" t="s">
        <v>96</v>
      </c>
      <c r="D10" s="45"/>
      <c r="E10" s="45"/>
      <c r="F10" s="45"/>
      <c r="G10" s="45"/>
      <c r="H10" s="45"/>
      <c r="I10" s="45"/>
      <c r="J10" s="45"/>
      <c r="K10" s="45"/>
      <c r="L10" s="45"/>
      <c r="M10" s="45"/>
      <c r="N10" s="45"/>
      <c r="O10" s="41"/>
      <c r="P10" s="41"/>
    </row>
    <row r="11" spans="1:16" x14ac:dyDescent="0.2">
      <c r="A11" s="41"/>
      <c r="B11" s="45"/>
      <c r="C11" s="50" t="s">
        <v>85</v>
      </c>
      <c r="D11" s="45"/>
      <c r="E11" s="45"/>
      <c r="F11" s="45"/>
      <c r="G11" s="45"/>
      <c r="H11" s="45"/>
      <c r="I11" s="45"/>
      <c r="J11" s="45"/>
      <c r="K11" s="45"/>
      <c r="L11" s="45"/>
      <c r="M11" s="45"/>
      <c r="N11" s="45"/>
      <c r="O11" s="41"/>
      <c r="P11" s="41"/>
    </row>
    <row r="12" spans="1:16" x14ac:dyDescent="0.2">
      <c r="A12" s="41"/>
      <c r="B12" s="45"/>
      <c r="C12" s="50" t="s">
        <v>94</v>
      </c>
      <c r="D12" s="45"/>
      <c r="E12" s="45"/>
      <c r="F12" s="45"/>
      <c r="G12" s="45"/>
      <c r="H12" s="45"/>
      <c r="I12" s="45"/>
      <c r="J12" s="45"/>
      <c r="K12" s="45"/>
      <c r="L12" s="45"/>
      <c r="M12" s="45"/>
      <c r="N12" s="45"/>
      <c r="O12" s="41"/>
      <c r="P12" s="41"/>
    </row>
    <row r="13" spans="1:16" x14ac:dyDescent="0.2">
      <c r="A13" s="41"/>
      <c r="B13" s="45"/>
      <c r="C13" s="48" t="s">
        <v>95</v>
      </c>
      <c r="D13" s="45"/>
      <c r="E13" s="45"/>
      <c r="F13" s="45"/>
      <c r="G13" s="45"/>
      <c r="H13" s="45"/>
      <c r="I13" s="45"/>
      <c r="J13" s="45"/>
      <c r="K13" s="45"/>
      <c r="L13" s="45"/>
      <c r="M13" s="45"/>
      <c r="N13" s="45"/>
      <c r="O13" s="41"/>
      <c r="P13" s="41"/>
    </row>
    <row r="14" spans="1:16" x14ac:dyDescent="0.2">
      <c r="A14" s="41"/>
      <c r="B14" s="45"/>
      <c r="C14" s="45"/>
      <c r="D14" s="45"/>
      <c r="E14" s="45"/>
      <c r="F14" s="45"/>
      <c r="G14" s="45"/>
      <c r="H14" s="45"/>
      <c r="I14" s="45"/>
      <c r="J14" s="45"/>
      <c r="K14" s="45"/>
      <c r="L14" s="45"/>
      <c r="M14" s="45"/>
      <c r="N14" s="45"/>
      <c r="O14" s="41"/>
      <c r="P14" s="41"/>
    </row>
    <row r="15" spans="1:16" ht="18" x14ac:dyDescent="0.25">
      <c r="A15" s="41"/>
      <c r="B15" s="45"/>
      <c r="C15" s="44" t="s">
        <v>75</v>
      </c>
      <c r="D15" s="45"/>
      <c r="E15" s="45"/>
      <c r="F15" s="45"/>
      <c r="G15" s="45"/>
      <c r="H15" s="45"/>
      <c r="I15" s="45"/>
      <c r="J15" s="45"/>
      <c r="K15" s="45"/>
      <c r="L15" s="45"/>
      <c r="M15" s="45"/>
      <c r="N15" s="45"/>
      <c r="O15" s="41"/>
      <c r="P15" s="41"/>
    </row>
    <row r="16" spans="1:16" x14ac:dyDescent="0.2">
      <c r="A16" s="41"/>
      <c r="B16" s="45"/>
      <c r="C16" s="45"/>
      <c r="D16" s="45"/>
      <c r="E16" s="45"/>
      <c r="F16" s="45"/>
      <c r="G16" s="45"/>
      <c r="H16" s="45"/>
      <c r="I16" s="45"/>
      <c r="J16" s="45"/>
      <c r="K16" s="45"/>
      <c r="L16" s="45"/>
      <c r="M16" s="45"/>
      <c r="N16" s="45"/>
      <c r="O16" s="41"/>
      <c r="P16" s="41"/>
    </row>
    <row r="17" spans="1:16" x14ac:dyDescent="0.2">
      <c r="A17" s="41"/>
      <c r="B17" s="45"/>
      <c r="C17" s="45" t="s">
        <v>87</v>
      </c>
      <c r="D17" s="45"/>
      <c r="E17" s="45"/>
      <c r="F17" s="45"/>
      <c r="G17" s="45"/>
      <c r="H17" s="45"/>
      <c r="I17" s="45"/>
      <c r="J17" s="45"/>
      <c r="K17" s="45"/>
      <c r="L17" s="45"/>
      <c r="M17" s="45"/>
      <c r="N17" s="45"/>
      <c r="O17" s="41"/>
      <c r="P17" s="41"/>
    </row>
    <row r="18" spans="1:16" x14ac:dyDescent="0.2">
      <c r="A18" s="41"/>
      <c r="B18" s="45"/>
      <c r="C18" s="45" t="s">
        <v>102</v>
      </c>
      <c r="D18" s="45"/>
      <c r="E18" s="45"/>
      <c r="F18" s="45"/>
      <c r="G18" s="45"/>
      <c r="H18" s="45"/>
      <c r="I18" s="45"/>
      <c r="J18" s="45"/>
      <c r="K18" s="45"/>
      <c r="L18" s="45"/>
      <c r="M18" s="45"/>
      <c r="N18" s="45"/>
      <c r="O18" s="41"/>
      <c r="P18" s="41"/>
    </row>
    <row r="19" spans="1:16" x14ac:dyDescent="0.2">
      <c r="A19" s="41"/>
      <c r="B19" s="45"/>
      <c r="C19" s="46" t="s">
        <v>103</v>
      </c>
      <c r="D19" s="45"/>
      <c r="E19" s="45"/>
      <c r="F19" s="45"/>
      <c r="G19" s="45"/>
      <c r="H19" s="45"/>
      <c r="I19" s="45"/>
      <c r="J19" s="45"/>
      <c r="K19" s="45"/>
      <c r="L19" s="45"/>
      <c r="M19" s="45"/>
      <c r="N19" s="45"/>
      <c r="O19" s="41"/>
      <c r="P19" s="41"/>
    </row>
    <row r="20" spans="1:16" x14ac:dyDescent="0.2">
      <c r="A20" s="41"/>
      <c r="B20" s="45"/>
      <c r="C20" s="45" t="s">
        <v>89</v>
      </c>
      <c r="D20" s="45"/>
      <c r="E20" s="45"/>
      <c r="F20" s="45"/>
      <c r="G20" s="45"/>
      <c r="H20" s="45"/>
      <c r="I20" s="45"/>
      <c r="J20" s="45"/>
      <c r="K20" s="45"/>
      <c r="L20" s="45"/>
      <c r="M20" s="45"/>
      <c r="N20" s="45"/>
      <c r="O20" s="41"/>
      <c r="P20" s="41"/>
    </row>
    <row r="21" spans="1:16" x14ac:dyDescent="0.2">
      <c r="A21" s="41"/>
      <c r="B21" s="45"/>
      <c r="D21" s="45"/>
      <c r="E21" s="45"/>
      <c r="F21" s="45"/>
      <c r="G21" s="45"/>
      <c r="H21" s="45"/>
      <c r="I21" s="45"/>
      <c r="J21" s="45"/>
      <c r="K21" s="45"/>
      <c r="L21" s="45"/>
      <c r="M21" s="45"/>
      <c r="N21" s="45"/>
      <c r="O21" s="41"/>
      <c r="P21" s="41"/>
    </row>
    <row r="22" spans="1:16" x14ac:dyDescent="0.2">
      <c r="A22" s="41"/>
      <c r="B22" s="45"/>
      <c r="C22" s="47"/>
      <c r="D22" s="45"/>
      <c r="E22" s="45"/>
      <c r="F22" s="45"/>
      <c r="G22" s="45"/>
      <c r="H22" s="45"/>
      <c r="I22" s="45"/>
      <c r="J22" s="45"/>
      <c r="K22" s="45"/>
      <c r="L22" s="45"/>
      <c r="M22" s="45"/>
      <c r="N22" s="45"/>
      <c r="O22" s="41"/>
      <c r="P22" s="41"/>
    </row>
    <row r="23" spans="1:16" x14ac:dyDescent="0.2">
      <c r="A23" s="41"/>
      <c r="B23" s="45"/>
      <c r="C23" s="51" t="s">
        <v>88</v>
      </c>
      <c r="D23" s="48"/>
      <c r="E23" s="45"/>
      <c r="F23" s="45"/>
      <c r="G23" s="45"/>
      <c r="H23" s="45"/>
      <c r="I23" s="45"/>
      <c r="J23" s="45"/>
      <c r="K23" s="45"/>
      <c r="L23" s="45"/>
      <c r="M23" s="45"/>
      <c r="N23" s="45"/>
      <c r="O23" s="41"/>
      <c r="P23" s="41"/>
    </row>
    <row r="24" spans="1:16" x14ac:dyDescent="0.2">
      <c r="A24" s="41"/>
      <c r="B24" s="45"/>
      <c r="C24" s="45"/>
      <c r="D24" s="48"/>
      <c r="E24" s="45"/>
      <c r="F24" s="45"/>
      <c r="G24" s="45"/>
      <c r="H24" s="45"/>
      <c r="I24" s="45"/>
      <c r="J24" s="45"/>
      <c r="K24" s="45"/>
      <c r="L24" s="45"/>
      <c r="M24" s="45"/>
      <c r="N24" s="45"/>
      <c r="O24" s="41"/>
      <c r="P24" s="41"/>
    </row>
    <row r="25" spans="1:16" ht="14.25" x14ac:dyDescent="0.2">
      <c r="A25" s="41"/>
      <c r="B25" s="45"/>
      <c r="C25" s="54" t="s">
        <v>99</v>
      </c>
      <c r="D25" s="45"/>
      <c r="E25" s="45"/>
      <c r="F25" s="45"/>
      <c r="G25" s="45"/>
      <c r="H25" s="45"/>
      <c r="I25" s="45"/>
      <c r="J25" s="45"/>
      <c r="K25" s="45"/>
      <c r="L25" s="45"/>
      <c r="M25" s="45"/>
      <c r="N25" s="45"/>
      <c r="O25" s="41"/>
      <c r="P25" s="41"/>
    </row>
    <row r="26" spans="1:16" ht="14.25" x14ac:dyDescent="0.2">
      <c r="A26" s="41"/>
      <c r="B26" s="45"/>
      <c r="C26" s="52" t="s">
        <v>91</v>
      </c>
      <c r="D26" s="45"/>
      <c r="E26" s="45"/>
      <c r="F26" s="45"/>
      <c r="G26" s="45"/>
      <c r="H26" s="45"/>
      <c r="I26" s="45"/>
      <c r="J26" s="45"/>
      <c r="K26" s="45"/>
      <c r="L26" s="45"/>
      <c r="M26" s="45"/>
      <c r="N26" s="45"/>
      <c r="O26" s="41"/>
      <c r="P26" s="41"/>
    </row>
    <row r="27" spans="1:16" ht="14.25" x14ac:dyDescent="0.2">
      <c r="A27" s="41"/>
      <c r="B27" s="45"/>
      <c r="C27" s="52" t="s">
        <v>90</v>
      </c>
      <c r="D27" s="45"/>
      <c r="E27" s="45"/>
      <c r="F27" s="45"/>
      <c r="G27" s="45"/>
      <c r="H27" s="45"/>
      <c r="I27" s="45"/>
      <c r="J27" s="45"/>
      <c r="K27" s="45"/>
      <c r="L27" s="45"/>
      <c r="M27" s="45"/>
      <c r="N27" s="45"/>
      <c r="O27" s="41"/>
      <c r="P27" s="41"/>
    </row>
    <row r="28" spans="1:16" x14ac:dyDescent="0.2">
      <c r="A28" s="41"/>
      <c r="B28" s="45"/>
      <c r="C28" s="45"/>
      <c r="D28" s="48"/>
      <c r="E28" s="45"/>
      <c r="F28" s="45"/>
      <c r="G28" s="45"/>
      <c r="H28" s="45"/>
      <c r="I28" s="45"/>
      <c r="J28" s="45"/>
      <c r="K28" s="45"/>
      <c r="L28" s="45"/>
      <c r="M28" s="45"/>
      <c r="N28" s="45"/>
      <c r="O28" s="41"/>
      <c r="P28" s="41"/>
    </row>
    <row r="29" spans="1:16" x14ac:dyDescent="0.2">
      <c r="A29" s="41"/>
      <c r="B29" s="45"/>
      <c r="C29" s="45"/>
      <c r="D29" s="45"/>
      <c r="E29" s="45"/>
      <c r="F29" s="45"/>
      <c r="G29" s="45"/>
      <c r="H29" s="45"/>
      <c r="I29" s="45"/>
      <c r="J29" s="45"/>
      <c r="K29" s="45"/>
      <c r="L29" s="45"/>
      <c r="M29" s="45"/>
      <c r="N29" s="45"/>
      <c r="O29" s="41"/>
      <c r="P29" s="41"/>
    </row>
    <row r="30" spans="1:16" x14ac:dyDescent="0.2">
      <c r="A30" s="41"/>
      <c r="B30" s="45"/>
      <c r="C30" s="45"/>
      <c r="D30" s="45"/>
      <c r="E30" s="45"/>
      <c r="F30" s="45"/>
      <c r="G30" s="45"/>
      <c r="H30" s="45"/>
      <c r="I30" s="45"/>
      <c r="J30" s="45"/>
      <c r="K30" s="45"/>
      <c r="L30" s="45"/>
      <c r="M30" s="45"/>
      <c r="N30" s="45"/>
      <c r="O30" s="41"/>
      <c r="P30" s="41"/>
    </row>
    <row r="31" spans="1:16" ht="18" x14ac:dyDescent="0.25">
      <c r="A31" s="41"/>
      <c r="B31" s="45"/>
      <c r="C31" s="44"/>
      <c r="D31" s="45"/>
      <c r="E31" s="45"/>
      <c r="F31" s="45"/>
      <c r="G31" s="45"/>
      <c r="H31" s="45"/>
      <c r="I31" s="45"/>
      <c r="J31" s="45"/>
      <c r="K31" s="45"/>
      <c r="L31" s="45"/>
      <c r="M31" s="45"/>
      <c r="N31" s="45"/>
      <c r="O31" s="41"/>
      <c r="P31" s="41"/>
    </row>
    <row r="32" spans="1:16" x14ac:dyDescent="0.2">
      <c r="A32" s="41"/>
      <c r="B32" s="45"/>
      <c r="C32" s="45"/>
      <c r="D32" s="45"/>
      <c r="E32" s="45"/>
      <c r="F32" s="45"/>
      <c r="G32" s="45"/>
      <c r="H32" s="45"/>
      <c r="I32" s="45"/>
      <c r="J32" s="45"/>
      <c r="K32" s="45"/>
      <c r="L32" s="45"/>
      <c r="M32" s="45"/>
      <c r="N32" s="45"/>
      <c r="O32" s="41"/>
      <c r="P32" s="41"/>
    </row>
    <row r="33" spans="1:16" x14ac:dyDescent="0.2">
      <c r="A33" s="41"/>
      <c r="B33" s="45"/>
      <c r="C33" s="45"/>
      <c r="D33" s="45"/>
      <c r="E33" s="45"/>
      <c r="F33" s="45"/>
      <c r="G33" s="45"/>
      <c r="H33" s="45"/>
      <c r="I33" s="45"/>
      <c r="J33" s="45"/>
      <c r="K33" s="45"/>
      <c r="L33" s="45"/>
      <c r="M33" s="45"/>
      <c r="N33" s="45"/>
      <c r="O33" s="41"/>
      <c r="P33" s="41"/>
    </row>
    <row r="34" spans="1:16" x14ac:dyDescent="0.2">
      <c r="A34" s="41"/>
      <c r="B34" s="45"/>
      <c r="C34" s="45"/>
      <c r="D34" s="45"/>
      <c r="E34" s="45"/>
      <c r="F34" s="45"/>
      <c r="G34" s="45"/>
      <c r="H34" s="45"/>
      <c r="I34" s="45"/>
      <c r="J34" s="45"/>
      <c r="K34" s="45"/>
      <c r="L34" s="45"/>
      <c r="M34" s="45"/>
      <c r="N34" s="45"/>
      <c r="O34" s="41"/>
      <c r="P34" s="41"/>
    </row>
    <row r="35" spans="1:16" x14ac:dyDescent="0.2">
      <c r="A35" s="41"/>
      <c r="B35" s="45"/>
      <c r="C35" s="45"/>
      <c r="D35" s="48"/>
      <c r="E35" s="45"/>
      <c r="F35" s="45"/>
      <c r="G35" s="45"/>
      <c r="H35" s="45"/>
      <c r="I35" s="45"/>
      <c r="J35" s="45"/>
      <c r="K35" s="45"/>
      <c r="L35" s="45"/>
      <c r="M35" s="45"/>
      <c r="N35" s="45"/>
      <c r="O35" s="41"/>
      <c r="P35" s="41"/>
    </row>
    <row r="36" spans="1:16" x14ac:dyDescent="0.2">
      <c r="A36" s="41"/>
      <c r="B36" s="45"/>
      <c r="C36" s="45"/>
      <c r="D36" s="45"/>
      <c r="E36" s="45"/>
      <c r="F36" s="45"/>
      <c r="G36" s="45"/>
      <c r="H36" s="45"/>
      <c r="I36" s="45"/>
      <c r="J36" s="45"/>
      <c r="K36" s="45"/>
      <c r="L36" s="45"/>
      <c r="M36" s="45"/>
      <c r="N36" s="45"/>
      <c r="O36" s="41"/>
      <c r="P36" s="41"/>
    </row>
    <row r="37" spans="1:16" ht="18" x14ac:dyDescent="0.25">
      <c r="A37" s="41"/>
      <c r="B37" s="45"/>
      <c r="C37" s="44"/>
      <c r="D37" s="45"/>
      <c r="E37" s="45"/>
      <c r="F37" s="45"/>
      <c r="G37" s="45"/>
      <c r="H37" s="45"/>
      <c r="I37" s="45"/>
      <c r="J37" s="45"/>
      <c r="K37" s="45"/>
      <c r="L37" s="45"/>
      <c r="M37" s="45"/>
      <c r="N37" s="45"/>
      <c r="O37" s="41"/>
      <c r="P37" s="41"/>
    </row>
    <row r="38" spans="1:16" x14ac:dyDescent="0.2">
      <c r="A38" s="41"/>
      <c r="B38" s="45"/>
      <c r="C38" s="45"/>
      <c r="D38" s="45"/>
      <c r="E38" s="45"/>
      <c r="F38" s="45"/>
      <c r="G38" s="45"/>
      <c r="H38" s="45"/>
      <c r="I38" s="45"/>
      <c r="J38" s="45"/>
      <c r="K38" s="45"/>
      <c r="L38" s="45"/>
      <c r="M38" s="45"/>
      <c r="N38" s="45"/>
      <c r="O38" s="41"/>
      <c r="P38" s="41"/>
    </row>
    <row r="39" spans="1:16" x14ac:dyDescent="0.2">
      <c r="A39" s="41"/>
      <c r="B39" s="45"/>
      <c r="C39" s="45"/>
      <c r="D39" s="45"/>
      <c r="E39" s="45"/>
      <c r="F39" s="45"/>
      <c r="G39" s="45"/>
      <c r="H39" s="45"/>
      <c r="I39" s="45"/>
      <c r="J39" s="45"/>
      <c r="K39" s="45"/>
      <c r="L39" s="45"/>
      <c r="M39" s="45"/>
      <c r="N39" s="45"/>
      <c r="O39" s="41"/>
      <c r="P39" s="41"/>
    </row>
    <row r="40" spans="1:16" x14ac:dyDescent="0.2">
      <c r="A40" s="41"/>
      <c r="B40" s="49"/>
      <c r="C40" s="49"/>
      <c r="D40" s="49"/>
      <c r="E40" s="49"/>
      <c r="F40" s="49"/>
      <c r="G40" s="49"/>
      <c r="H40" s="49"/>
      <c r="I40" s="49"/>
      <c r="J40" s="49"/>
      <c r="K40" s="49"/>
      <c r="L40" s="49"/>
      <c r="M40" s="49"/>
      <c r="N40" s="49"/>
      <c r="O40" s="41"/>
      <c r="P40" s="41"/>
    </row>
    <row r="41" spans="1:16" x14ac:dyDescent="0.2">
      <c r="A41" s="41"/>
      <c r="B41" s="41"/>
      <c r="C41" s="41"/>
      <c r="D41" s="41"/>
      <c r="E41" s="41"/>
      <c r="F41" s="41"/>
      <c r="G41" s="41"/>
      <c r="H41" s="41"/>
      <c r="I41" s="41"/>
      <c r="J41" s="41"/>
      <c r="K41" s="41"/>
      <c r="L41" s="41"/>
      <c r="M41" s="41"/>
      <c r="N41" s="41"/>
      <c r="O41" s="41"/>
      <c r="P41" s="41"/>
    </row>
    <row r="42" spans="1:16" x14ac:dyDescent="0.2">
      <c r="A42" s="41"/>
      <c r="B42" s="41"/>
      <c r="C42" s="41"/>
      <c r="D42" s="41"/>
      <c r="E42" s="41"/>
      <c r="F42" s="41"/>
      <c r="G42" s="41"/>
      <c r="H42" s="41"/>
      <c r="I42" s="41"/>
      <c r="J42" s="41"/>
      <c r="K42" s="41"/>
      <c r="L42" s="41"/>
      <c r="M42" s="41"/>
      <c r="N42" s="41"/>
      <c r="O42" s="41"/>
      <c r="P42" s="41"/>
    </row>
    <row r="43" spans="1:16" x14ac:dyDescent="0.2"/>
    <row r="44" spans="1:16" x14ac:dyDescent="0.2"/>
    <row r="45" spans="1:16" x14ac:dyDescent="0.2"/>
    <row r="46" spans="1:16" x14ac:dyDescent="0.2"/>
    <row r="47" spans="1:16" x14ac:dyDescent="0.2"/>
    <row r="48" spans="1:16" x14ac:dyDescent="0.2"/>
    <row r="49" x14ac:dyDescent="0.2"/>
    <row r="50" x14ac:dyDescent="0.2"/>
    <row r="51" x14ac:dyDescent="0.2"/>
    <row r="52" x14ac:dyDescent="0.2"/>
    <row r="53" x14ac:dyDescent="0.2"/>
    <row r="54" x14ac:dyDescent="0.2"/>
    <row r="5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abSelected="1" zoomScale="110" zoomScaleNormal="110" workbookViewId="0">
      <selection activeCell="K18" sqref="K18"/>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1:8" ht="28.9" customHeight="1" x14ac:dyDescent="0.2">
      <c r="A1" t="s">
        <v>42</v>
      </c>
    </row>
    <row r="2" spans="1:8" ht="11.65" customHeight="1" x14ac:dyDescent="0.2"/>
    <row r="3" spans="1:8" x14ac:dyDescent="0.2"/>
    <row r="4" spans="1:8" x14ac:dyDescent="0.2"/>
    <row r="5" spans="1:8" x14ac:dyDescent="0.2"/>
    <row r="6" spans="1:8" x14ac:dyDescent="0.2"/>
    <row r="7" spans="1:8" x14ac:dyDescent="0.2"/>
    <row r="8" spans="1:8" x14ac:dyDescent="0.2"/>
    <row r="9" spans="1:8" x14ac:dyDescent="0.2"/>
    <row r="10" spans="1:8" x14ac:dyDescent="0.2"/>
    <row r="11" spans="1:8" x14ac:dyDescent="0.2"/>
    <row r="12" spans="1:8" x14ac:dyDescent="0.2">
      <c r="H12" s="7"/>
    </row>
    <row r="13" spans="1:8" x14ac:dyDescent="0.2">
      <c r="H13" s="7"/>
    </row>
    <row r="14" spans="1:8" x14ac:dyDescent="0.2"/>
    <row r="15" spans="1:8" x14ac:dyDescent="0.2"/>
    <row r="16" spans="1:8" x14ac:dyDescent="0.2"/>
    <row r="17" spans="1:7" x14ac:dyDescent="0.2"/>
    <row r="18" spans="1:7" x14ac:dyDescent="0.2"/>
    <row r="19" spans="1:7" ht="13.5" thickBot="1" x14ac:dyDescent="0.25">
      <c r="B19" s="37" t="s">
        <v>74</v>
      </c>
      <c r="C19" s="38"/>
      <c r="D19" s="38"/>
      <c r="E19" s="38"/>
      <c r="F19" s="38"/>
      <c r="G19" s="38"/>
    </row>
    <row r="20" spans="1:7" x14ac:dyDescent="0.2">
      <c r="A20" s="39"/>
      <c r="B20" s="40"/>
      <c r="C20" s="40"/>
      <c r="D20" s="40"/>
      <c r="E20" s="40"/>
      <c r="F20" s="40"/>
      <c r="G20" s="40"/>
    </row>
    <row r="21" spans="1:7" x14ac:dyDescent="0.2">
      <c r="A21" s="40"/>
      <c r="B21" s="40"/>
      <c r="C21" s="40"/>
      <c r="D21" s="40"/>
      <c r="E21" s="40"/>
      <c r="F21" s="40"/>
      <c r="G21" s="40"/>
    </row>
    <row r="22" spans="1:7" x14ac:dyDescent="0.2">
      <c r="A22" s="40"/>
      <c r="B22" s="40"/>
      <c r="C22" s="40"/>
      <c r="D22" s="40"/>
      <c r="E22" s="40"/>
      <c r="F22" s="40"/>
      <c r="G22" s="40"/>
    </row>
    <row r="23" spans="1:7" x14ac:dyDescent="0.2">
      <c r="A23" s="40"/>
      <c r="B23" s="40"/>
      <c r="C23" s="40"/>
      <c r="D23" s="40"/>
      <c r="E23" s="40"/>
      <c r="F23" s="40"/>
      <c r="G23" s="40"/>
    </row>
    <row r="24" spans="1:7" x14ac:dyDescent="0.2">
      <c r="A24" s="40"/>
      <c r="B24" s="40"/>
      <c r="C24" s="40"/>
      <c r="D24" s="40"/>
      <c r="E24" s="40"/>
      <c r="F24" s="40"/>
      <c r="G24" s="40"/>
    </row>
    <row r="25" spans="1:7" x14ac:dyDescent="0.2">
      <c r="A25" s="40"/>
      <c r="B25" s="40"/>
      <c r="C25" s="40"/>
      <c r="D25" s="40"/>
      <c r="E25" s="40"/>
      <c r="F25" s="40"/>
      <c r="G25" s="40"/>
    </row>
    <row r="26" spans="1:7" x14ac:dyDescent="0.2">
      <c r="A26" s="40"/>
      <c r="B26" s="40"/>
      <c r="C26" s="40"/>
      <c r="D26" s="40"/>
      <c r="E26" s="40"/>
      <c r="F26" s="40"/>
      <c r="G26" s="40"/>
    </row>
    <row r="27" spans="1:7" x14ac:dyDescent="0.2">
      <c r="A27" s="40"/>
      <c r="B27" s="40"/>
      <c r="C27" s="40"/>
      <c r="D27" s="40"/>
      <c r="E27" s="40"/>
      <c r="F27" s="40"/>
      <c r="G27" s="40"/>
    </row>
    <row r="28" spans="1:7" x14ac:dyDescent="0.2">
      <c r="A28" s="40"/>
      <c r="B28" s="40"/>
      <c r="C28" s="40"/>
      <c r="D28" s="40"/>
      <c r="E28" s="40"/>
      <c r="F28" s="40"/>
      <c r="G28" s="40"/>
    </row>
    <row r="29" spans="1:7" x14ac:dyDescent="0.2">
      <c r="A29" s="40"/>
      <c r="B29" s="40"/>
      <c r="C29" s="40"/>
      <c r="D29" s="40"/>
      <c r="E29" s="40"/>
      <c r="F29" s="40"/>
      <c r="G29" s="40"/>
    </row>
    <row r="30" spans="1:7" x14ac:dyDescent="0.2">
      <c r="A30" s="40"/>
      <c r="B30" s="40"/>
      <c r="C30" s="40"/>
      <c r="D30" s="40"/>
      <c r="E30" s="40"/>
      <c r="F30" s="40"/>
      <c r="G30" s="40"/>
    </row>
    <row r="31" spans="1:7" x14ac:dyDescent="0.2">
      <c r="A31" s="40"/>
      <c r="B31" s="40"/>
      <c r="C31" s="40"/>
      <c r="D31" s="40"/>
      <c r="E31" s="40"/>
      <c r="F31" s="40"/>
      <c r="G31" s="40"/>
    </row>
    <row r="32" spans="1:7" x14ac:dyDescent="0.2">
      <c r="A32" s="40"/>
      <c r="B32" s="40"/>
      <c r="C32" s="40"/>
      <c r="D32" s="40"/>
      <c r="E32" s="40"/>
      <c r="F32" s="40"/>
      <c r="G32" s="40"/>
    </row>
    <row r="33" spans="1:7" x14ac:dyDescent="0.2">
      <c r="A33" s="40"/>
      <c r="B33" s="55"/>
      <c r="C33" s="55"/>
      <c r="D33" s="55"/>
      <c r="E33" s="55"/>
      <c r="F33" s="55"/>
      <c r="G33" s="55"/>
    </row>
    <row r="34" spans="1:7" x14ac:dyDescent="0.2">
      <c r="A34" s="40"/>
      <c r="B34" s="40"/>
      <c r="C34" s="40"/>
      <c r="D34" s="40"/>
      <c r="E34" s="40"/>
      <c r="F34" s="40"/>
      <c r="G34" s="40"/>
    </row>
    <row r="35" spans="1:7" hidden="1" x14ac:dyDescent="0.2">
      <c r="A35" s="40"/>
      <c r="B35" s="40"/>
      <c r="C35" s="40"/>
      <c r="D35" s="40"/>
      <c r="E35" s="40"/>
      <c r="F35" s="40"/>
      <c r="G35" s="40"/>
    </row>
    <row r="36" spans="1:7" hidden="1" x14ac:dyDescent="0.2">
      <c r="A36" s="40"/>
      <c r="B36" s="40"/>
      <c r="C36" s="40"/>
      <c r="D36" s="40"/>
      <c r="E36" s="40"/>
      <c r="F36" s="40"/>
      <c r="G36" s="40"/>
    </row>
    <row r="37" spans="1:7" hidden="1" x14ac:dyDescent="0.2">
      <c r="A37" s="40"/>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123825</xdr:rowOff>
              </from>
              <to>
                <xdr:col>6</xdr:col>
                <xdr:colOff>447675</xdr:colOff>
                <xdr:row>15</xdr:row>
                <xdr:rowOff>19050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428625</xdr:colOff>
                <xdr:row>11</xdr:row>
                <xdr:rowOff>95250</xdr:rowOff>
              </from>
              <to>
                <xdr:col>3</xdr:col>
                <xdr:colOff>47625</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314325</xdr:colOff>
                <xdr:row>11</xdr:row>
                <xdr:rowOff>9525</xdr:rowOff>
              </from>
              <to>
                <xdr:col>6</xdr:col>
                <xdr:colOff>600075</xdr:colOff>
                <xdr:row>13</xdr:row>
                <xdr:rowOff>66675</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76200</xdr:colOff>
                <xdr:row>11</xdr:row>
                <xdr:rowOff>95250</xdr:rowOff>
              </from>
              <to>
                <xdr:col>10</xdr:col>
                <xdr:colOff>600075</xdr:colOff>
                <xdr:row>13</xdr:row>
                <xdr:rowOff>161925</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476250</xdr:colOff>
                <xdr:row>15</xdr:row>
                <xdr:rowOff>142875</xdr:rowOff>
              </from>
              <to>
                <xdr:col>15</xdr:col>
                <xdr:colOff>95250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485775</xdr:colOff>
                <xdr:row>11</xdr:row>
                <xdr:rowOff>161925</xdr:rowOff>
              </from>
              <to>
                <xdr:col>15</xdr:col>
                <xdr:colOff>104775</xdr:colOff>
                <xdr:row>14</xdr:row>
                <xdr:rowOff>95250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
  <sheetViews>
    <sheetView workbookViewId="0">
      <selection activeCell="H100" sqref="H100:H141"/>
    </sheetView>
  </sheetViews>
  <sheetFormatPr defaultColWidth="9.140625" defaultRowHeight="12.75" x14ac:dyDescent="0.2"/>
  <cols>
    <col min="1" max="1" width="13.5703125" style="8" customWidth="1"/>
    <col min="2" max="8" width="16" style="8" customWidth="1"/>
    <col min="9" max="16384" width="9.140625" style="8"/>
  </cols>
  <sheetData>
    <row r="1" spans="1:8" s="11" customFormat="1" x14ac:dyDescent="0.2">
      <c r="A1" s="10" t="s">
        <v>40</v>
      </c>
      <c r="B1" s="10" t="s">
        <v>3</v>
      </c>
      <c r="C1" s="10" t="s">
        <v>41</v>
      </c>
      <c r="D1" s="10" t="s">
        <v>56</v>
      </c>
      <c r="E1" s="10" t="s">
        <v>59</v>
      </c>
      <c r="F1" s="10" t="s">
        <v>45</v>
      </c>
      <c r="G1" s="10" t="s">
        <v>43</v>
      </c>
      <c r="H1" s="10" t="s">
        <v>44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AA1" zoomScaleNormal="100" workbookViewId="0">
      <selection activeCell="A2" sqref="A2:H78"/>
    </sheetView>
  </sheetViews>
  <sheetFormatPr defaultRowHeight="12.75" x14ac:dyDescent="0.2"/>
  <cols>
    <col min="1" max="5" width="13.85546875" customWidth="1"/>
    <col min="6" max="6" width="8.5703125" customWidth="1"/>
    <col min="7" max="13" width="13.85546875" customWidth="1"/>
    <col min="18" max="18" width="3.28515625" customWidth="1"/>
    <col min="19" max="19" width="19.28515625" customWidth="1"/>
    <col min="20" max="20" width="13.140625" customWidth="1"/>
    <col min="21" max="21" width="15" customWidth="1"/>
    <col min="22" max="22" width="9.85546875" customWidth="1"/>
    <col min="23" max="23" width="2.5703125" customWidth="1"/>
    <col min="24" max="24" width="29.42578125" bestFit="1" customWidth="1"/>
    <col min="25" max="25" width="21.42578125" bestFit="1" customWidth="1"/>
    <col min="26" max="26" width="9.85546875" customWidth="1"/>
    <col min="27" max="27" width="6.28515625" customWidth="1"/>
    <col min="28" max="28" width="5.28515625" customWidth="1"/>
    <col min="29" max="29" width="29.42578125" bestFit="1" customWidth="1"/>
    <col min="30" max="35" width="9.85546875" customWidth="1"/>
    <col min="36" max="36" width="2.5703125" customWidth="1"/>
    <col min="37" max="37" width="37.42578125" customWidth="1"/>
    <col min="38" max="38" width="22.5703125" bestFit="1" customWidth="1"/>
    <col min="39" max="39" width="15.7109375" customWidth="1"/>
  </cols>
  <sheetData>
    <row r="1" spans="1:47" ht="27.75" customHeight="1" x14ac:dyDescent="0.2">
      <c r="A1" s="13" t="s">
        <v>46</v>
      </c>
      <c r="B1" s="13" t="s">
        <v>3</v>
      </c>
      <c r="C1" s="13" t="s">
        <v>41</v>
      </c>
      <c r="D1" s="13" t="s">
        <v>55</v>
      </c>
      <c r="E1" s="13" t="s">
        <v>59</v>
      </c>
      <c r="F1" s="13" t="s">
        <v>45</v>
      </c>
      <c r="G1" s="13" t="s">
        <v>43</v>
      </c>
      <c r="H1" s="13" t="s">
        <v>49</v>
      </c>
      <c r="I1" s="14" t="s">
        <v>36</v>
      </c>
      <c r="J1" s="14" t="s">
        <v>47</v>
      </c>
      <c r="K1" s="14" t="s">
        <v>48</v>
      </c>
      <c r="L1" s="14" t="s">
        <v>4</v>
      </c>
      <c r="M1" s="14" t="s">
        <v>50</v>
      </c>
      <c r="R1" s="29"/>
      <c r="S1" s="28" t="s">
        <v>68</v>
      </c>
      <c r="T1" s="27"/>
      <c r="U1" s="36">
        <v>201810</v>
      </c>
      <c r="W1" s="29"/>
      <c r="X1" s="28" t="s">
        <v>69</v>
      </c>
      <c r="Y1" s="27"/>
      <c r="Z1" s="27"/>
      <c r="AA1" s="27"/>
      <c r="AB1" s="27"/>
      <c r="AC1" s="27"/>
      <c r="AD1" s="27"/>
      <c r="AE1" s="27"/>
      <c r="AF1" s="27"/>
      <c r="AG1" s="27"/>
      <c r="AH1" s="32"/>
      <c r="AI1" s="32"/>
      <c r="AJ1" s="35"/>
      <c r="AK1" s="28" t="s">
        <v>73</v>
      </c>
      <c r="AL1" s="28"/>
      <c r="AM1" s="27"/>
      <c r="AN1" s="27"/>
      <c r="AO1" s="27"/>
      <c r="AP1" s="27"/>
      <c r="AQ1" s="27"/>
      <c r="AR1" s="27"/>
      <c r="AS1" s="27"/>
      <c r="AT1" s="27"/>
      <c r="AU1" s="27"/>
    </row>
    <row r="2" spans="1:47" x14ac:dyDescent="0.2">
      <c r="A2" s="8" t="s">
        <v>31</v>
      </c>
      <c r="B2">
        <v>84030</v>
      </c>
      <c r="C2" s="9">
        <v>43380</v>
      </c>
      <c r="D2">
        <v>8050</v>
      </c>
      <c r="E2">
        <v>120</v>
      </c>
      <c r="F2" t="s">
        <v>2</v>
      </c>
      <c r="G2">
        <v>120</v>
      </c>
      <c r="H2">
        <v>6960</v>
      </c>
      <c r="I2" s="8" t="str">
        <f>VLOOKUP(A2,MCompany[],2,FALSE)</f>
        <v>Bere Kleid</v>
      </c>
      <c r="J2" s="12" t="str">
        <f>VLOOKUP(TableTemp[[#This Row],[Customer Code]],MCustomer[],2,FALSE)</f>
        <v>Aida GmbH</v>
      </c>
      <c r="K2" s="12" t="str">
        <f>VLOOKUP(TableTemp[[#This Row],[Article code]],MArticle[],2,FALSE)</f>
        <v>Women evening dress Cocktail red</v>
      </c>
      <c r="L2" s="12" t="str">
        <f>VLOOKUP(TableTemp[[#This Row],[Company]],MCompany[],3,FALSE)</f>
        <v>EUR</v>
      </c>
      <c r="M2" s="18">
        <f>IF(TableTemp[[#This Row],[Currency]]="EUR",ROUND(VLOOKUP(MONTH(TableTemp[[#This Row],[Document Date]]),MExchange[],2,FALSE)*TableTemp[[#This Row],[Sales Local Currency]],2),ROUND(TableTemp[[#This Row],[Sales Local Currency]],2))</f>
        <v>8177.58</v>
      </c>
    </row>
    <row r="3" spans="1:47" x14ac:dyDescent="0.2">
      <c r="A3" s="8" t="s">
        <v>31</v>
      </c>
      <c r="B3">
        <v>84030</v>
      </c>
      <c r="C3" s="9">
        <v>43380</v>
      </c>
      <c r="D3">
        <v>8050</v>
      </c>
      <c r="E3">
        <v>104</v>
      </c>
      <c r="F3">
        <v>1</v>
      </c>
      <c r="G3">
        <v>430</v>
      </c>
      <c r="H3">
        <v>5160</v>
      </c>
      <c r="I3" s="12" t="str">
        <f>VLOOKUP(A3,MCompany[],2,FALSE)</f>
        <v>Bere Kleid</v>
      </c>
      <c r="J3" s="12" t="str">
        <f>VLOOKUP(TableTemp[[#This Row],[Customer Code]],MCustomer[],2,FALSE)</f>
        <v>Aida GmbH</v>
      </c>
      <c r="K3" s="12" t="str">
        <f>VLOOKUP(TableTemp[[#This Row],[Article code]],MArticle[],2,FALSE)</f>
        <v>Women type T simple black</v>
      </c>
      <c r="L3" s="12" t="str">
        <f>VLOOKUP(TableTemp[[#This Row],[Company]],MCompany[],3,FALSE)</f>
        <v>EUR</v>
      </c>
      <c r="M3" s="18">
        <f>IF(TableTemp[[#This Row],[Currency]]="EUR",ROUND(VLOOKUP(MONTH(TableTemp[[#This Row],[Document Date]]),MExchange[],2,FALSE)*TableTemp[[#This Row],[Sales Local Currency]],2),ROUND(TableTemp[[#This Row],[Sales Local Currency]],2))</f>
        <v>6062.69</v>
      </c>
      <c r="Q3" s="33"/>
      <c r="V3" s="26"/>
      <c r="AG3" s="33"/>
      <c r="AK3" s="19" t="s">
        <v>60</v>
      </c>
      <c r="AL3" s="53" t="s">
        <v>97</v>
      </c>
      <c r="AM3" s="24" t="s">
        <v>98</v>
      </c>
    </row>
    <row r="4" spans="1:47" x14ac:dyDescent="0.2">
      <c r="A4" s="8" t="s">
        <v>31</v>
      </c>
      <c r="B4">
        <v>84030</v>
      </c>
      <c r="C4" s="9">
        <v>43380</v>
      </c>
      <c r="D4">
        <v>8050</v>
      </c>
      <c r="E4">
        <v>105</v>
      </c>
      <c r="F4" t="s">
        <v>2</v>
      </c>
      <c r="G4">
        <v>120</v>
      </c>
      <c r="H4">
        <v>1200</v>
      </c>
      <c r="I4" s="12" t="str">
        <f>VLOOKUP(A4,MCompany[],2,FALSE)</f>
        <v>Bere Kleid</v>
      </c>
      <c r="J4" s="12" t="str">
        <f>VLOOKUP(TableTemp[[#This Row],[Customer Code]],MCustomer[],2,FALSE)</f>
        <v>Aida GmbH</v>
      </c>
      <c r="K4" s="12" t="str">
        <f>VLOOKUP(TableTemp[[#This Row],[Article code]],MArticle[],2,FALSE)</f>
        <v>Women crop top black</v>
      </c>
      <c r="L4" s="12" t="str">
        <f>VLOOKUP(TableTemp[[#This Row],[Company]],MCompany[],3,FALSE)</f>
        <v>EUR</v>
      </c>
      <c r="M4" s="18">
        <f>IF(TableTemp[[#This Row],[Currency]]="EUR",ROUND(VLOOKUP(MONTH(TableTemp[[#This Row],[Document Date]]),MExchange[],2,FALSE)*TableTemp[[#This Row],[Sales Local Currency]],2),ROUND(TableTemp[[#This Row],[Sales Local Currency]],2))</f>
        <v>1409.93</v>
      </c>
      <c r="Q4" s="33"/>
      <c r="V4" s="26"/>
      <c r="AG4" s="33"/>
      <c r="AK4" s="20" t="s">
        <v>35</v>
      </c>
      <c r="AL4" s="30"/>
      <c r="AM4" s="30"/>
    </row>
    <row r="5" spans="1:47" x14ac:dyDescent="0.2">
      <c r="A5" s="8" t="s">
        <v>31</v>
      </c>
      <c r="B5">
        <v>84030</v>
      </c>
      <c r="C5" s="9">
        <v>43380</v>
      </c>
      <c r="D5">
        <v>8050</v>
      </c>
      <c r="E5">
        <v>107</v>
      </c>
      <c r="F5">
        <v>1</v>
      </c>
      <c r="G5">
        <v>690</v>
      </c>
      <c r="H5">
        <v>3450</v>
      </c>
      <c r="I5" s="12" t="str">
        <f>VLOOKUP(A5,MCompany[],2,FALSE)</f>
        <v>Bere Kleid</v>
      </c>
      <c r="J5" s="12" t="str">
        <f>VLOOKUP(TableTemp[[#This Row],[Customer Code]],MCustomer[],2,FALSE)</f>
        <v>Aida GmbH</v>
      </c>
      <c r="K5" s="12" t="str">
        <f>VLOOKUP(TableTemp[[#This Row],[Article code]],MArticle[],2,FALSE)</f>
        <v>Women basics</v>
      </c>
      <c r="L5" s="12" t="str">
        <f>VLOOKUP(TableTemp[[#This Row],[Company]],MCompany[],3,FALSE)</f>
        <v>EUR</v>
      </c>
      <c r="M5" s="18">
        <f>IF(TableTemp[[#This Row],[Currency]]="EUR",ROUND(VLOOKUP(MONTH(TableTemp[[#This Row],[Document Date]]),MExchange[],2,FALSE)*TableTemp[[#This Row],[Sales Local Currency]],2),ROUND(TableTemp[[#This Row],[Sales Local Currency]],2))</f>
        <v>4053.54</v>
      </c>
      <c r="Q5" s="33"/>
      <c r="S5" s="19" t="s">
        <v>66</v>
      </c>
      <c r="T5" s="24" t="s">
        <v>64</v>
      </c>
      <c r="U5" t="s">
        <v>42</v>
      </c>
      <c r="V5" s="26"/>
      <c r="X5" s="19" t="s">
        <v>67</v>
      </c>
      <c r="Y5" s="24" t="s">
        <v>64</v>
      </c>
      <c r="Z5" s="24" t="s">
        <v>70</v>
      </c>
      <c r="AC5" s="19" t="s">
        <v>67</v>
      </c>
      <c r="AD5" s="24" t="s">
        <v>71</v>
      </c>
      <c r="AE5" s="24" t="s">
        <v>72</v>
      </c>
      <c r="AG5" s="33"/>
      <c r="AK5" s="21" t="s">
        <v>54</v>
      </c>
      <c r="AL5" s="30"/>
      <c r="AM5" s="30"/>
    </row>
    <row r="6" spans="1:47" x14ac:dyDescent="0.2">
      <c r="A6" s="8" t="s">
        <v>31</v>
      </c>
      <c r="B6">
        <v>84031</v>
      </c>
      <c r="C6" s="9">
        <v>43381</v>
      </c>
      <c r="D6">
        <v>8040</v>
      </c>
      <c r="E6">
        <v>104</v>
      </c>
      <c r="F6" t="s">
        <v>2</v>
      </c>
      <c r="G6">
        <v>870</v>
      </c>
      <c r="H6">
        <v>10440</v>
      </c>
      <c r="I6" s="12" t="str">
        <f>VLOOKUP(A6,MCompany[],2,FALSE)</f>
        <v>Bere Kleid</v>
      </c>
      <c r="J6" s="12" t="str">
        <f>VLOOKUP(TableTemp[[#This Row],[Customer Code]],MCustomer[],2,FALSE)</f>
        <v>Werner Strauss</v>
      </c>
      <c r="K6" s="12" t="str">
        <f>VLOOKUP(TableTemp[[#This Row],[Article code]],MArticle[],2,FALSE)</f>
        <v>Women type T simple black</v>
      </c>
      <c r="L6" s="12" t="str">
        <f>VLOOKUP(TableTemp[[#This Row],[Company]],MCompany[],3,FALSE)</f>
        <v>EUR</v>
      </c>
      <c r="M6" s="18">
        <f>IF(TableTemp[[#This Row],[Currency]]="EUR",ROUND(VLOOKUP(MONTH(TableTemp[[#This Row],[Document Date]]),MExchange[],2,FALSE)*TableTemp[[#This Row],[Sales Local Currency]],2),ROUND(TableTemp[[#This Row],[Sales Local Currency]],2))</f>
        <v>12266.36</v>
      </c>
      <c r="Q6" s="33"/>
      <c r="S6" t="s">
        <v>79</v>
      </c>
      <c r="T6" s="23">
        <v>378530.11</v>
      </c>
      <c r="U6" s="25">
        <v>0.58348273131003381</v>
      </c>
      <c r="V6" s="26"/>
      <c r="X6" t="s">
        <v>14</v>
      </c>
      <c r="Y6" s="30">
        <v>159321.73000000001</v>
      </c>
      <c r="Z6" s="31">
        <v>2260</v>
      </c>
      <c r="AC6" t="s">
        <v>13</v>
      </c>
      <c r="AD6" s="17">
        <v>6</v>
      </c>
      <c r="AE6" s="34">
        <v>3.2786885245901639E-3</v>
      </c>
      <c r="AG6" s="33"/>
      <c r="AK6" s="22" t="s">
        <v>23</v>
      </c>
      <c r="AL6" s="30">
        <v>24039.25</v>
      </c>
      <c r="AM6" s="30">
        <v>330</v>
      </c>
    </row>
    <row r="7" spans="1:47" x14ac:dyDescent="0.2">
      <c r="A7" s="8" t="s">
        <v>31</v>
      </c>
      <c r="B7">
        <v>84031</v>
      </c>
      <c r="C7" s="9">
        <v>43381</v>
      </c>
      <c r="D7">
        <v>8040</v>
      </c>
      <c r="E7">
        <v>107</v>
      </c>
      <c r="F7" t="s">
        <v>2</v>
      </c>
      <c r="G7">
        <v>760</v>
      </c>
      <c r="H7">
        <v>3800</v>
      </c>
      <c r="I7" s="12" t="str">
        <f>VLOOKUP(A7,MCompany[],2,FALSE)</f>
        <v>Bere Kleid</v>
      </c>
      <c r="J7" s="12" t="str">
        <f>VLOOKUP(TableTemp[[#This Row],[Customer Code]],MCustomer[],2,FALSE)</f>
        <v>Werner Strauss</v>
      </c>
      <c r="K7" s="12" t="str">
        <f>VLOOKUP(TableTemp[[#This Row],[Article code]],MArticle[],2,FALSE)</f>
        <v>Women basics</v>
      </c>
      <c r="L7" s="12" t="str">
        <f>VLOOKUP(TableTemp[[#This Row],[Company]],MCompany[],3,FALSE)</f>
        <v>EUR</v>
      </c>
      <c r="M7" s="18">
        <f>IF(TableTemp[[#This Row],[Currency]]="EUR",ROUND(VLOOKUP(MONTH(TableTemp[[#This Row],[Document Date]]),MExchange[],2,FALSE)*TableTemp[[#This Row],[Sales Local Currency]],2),ROUND(TableTemp[[#This Row],[Sales Local Currency]],2))</f>
        <v>4464.7700000000004</v>
      </c>
      <c r="Q7" s="33"/>
      <c r="S7" t="s">
        <v>80</v>
      </c>
      <c r="T7" s="23">
        <v>174854.43999999997</v>
      </c>
      <c r="U7" s="25">
        <v>0.269528218595045</v>
      </c>
      <c r="V7" s="26"/>
      <c r="X7" t="s">
        <v>23</v>
      </c>
      <c r="Y7" s="30">
        <v>158804.76</v>
      </c>
      <c r="Z7" s="31">
        <v>2180</v>
      </c>
      <c r="AC7" t="s">
        <v>20</v>
      </c>
      <c r="AD7" s="17">
        <v>4</v>
      </c>
      <c r="AE7" s="34">
        <v>3.9215686274509803E-3</v>
      </c>
      <c r="AG7" s="33"/>
      <c r="AK7" s="22" t="s">
        <v>5</v>
      </c>
      <c r="AL7" s="30">
        <v>5522.21</v>
      </c>
      <c r="AM7" s="30">
        <v>470</v>
      </c>
    </row>
    <row r="8" spans="1:47" x14ac:dyDescent="0.2">
      <c r="A8" s="8" t="s">
        <v>31</v>
      </c>
      <c r="B8">
        <v>84031</v>
      </c>
      <c r="C8" s="9">
        <v>43381</v>
      </c>
      <c r="D8">
        <v>8040</v>
      </c>
      <c r="E8">
        <v>110</v>
      </c>
      <c r="F8">
        <v>2</v>
      </c>
      <c r="G8">
        <v>500</v>
      </c>
      <c r="H8">
        <v>30000</v>
      </c>
      <c r="I8" s="12" t="str">
        <f>VLOOKUP(A8,MCompany[],2,FALSE)</f>
        <v>Bere Kleid</v>
      </c>
      <c r="J8" s="12" t="str">
        <f>VLOOKUP(TableTemp[[#This Row],[Customer Code]],MCustomer[],2,FALSE)</f>
        <v>Werner Strauss</v>
      </c>
      <c r="K8" s="12" t="str">
        <f>VLOOKUP(TableTemp[[#This Row],[Article code]],MArticle[],2,FALSE)</f>
        <v>Smartphone case diamond</v>
      </c>
      <c r="L8" s="12" t="str">
        <f>VLOOKUP(TableTemp[[#This Row],[Company]],MCompany[],3,FALSE)</f>
        <v>EUR</v>
      </c>
      <c r="M8" s="18">
        <f>IF(TableTemp[[#This Row],[Currency]]="EUR",ROUND(VLOOKUP(MONTH(TableTemp[[#This Row],[Document Date]]),MExchange[],2,FALSE)*TableTemp[[#This Row],[Sales Local Currency]],2),ROUND(TableTemp[[#This Row],[Sales Local Currency]],2))</f>
        <v>35248.17</v>
      </c>
      <c r="Q8" s="33"/>
      <c r="S8" t="s">
        <v>81</v>
      </c>
      <c r="T8" s="23">
        <v>58511.98</v>
      </c>
      <c r="U8" s="25">
        <v>9.0192904085643483E-2</v>
      </c>
      <c r="V8" s="26"/>
      <c r="X8" t="s">
        <v>24</v>
      </c>
      <c r="Y8" s="30">
        <v>104945.56</v>
      </c>
      <c r="Z8" s="31">
        <v>1540</v>
      </c>
      <c r="AC8" t="s">
        <v>14</v>
      </c>
      <c r="AD8" s="17">
        <v>2</v>
      </c>
      <c r="AE8" s="34">
        <v>8.8495575221238937E-4</v>
      </c>
      <c r="AG8" s="33"/>
      <c r="AK8" s="22" t="s">
        <v>19</v>
      </c>
      <c r="AL8" s="30">
        <v>2749.36</v>
      </c>
      <c r="AM8" s="30">
        <v>390</v>
      </c>
    </row>
    <row r="9" spans="1:47" x14ac:dyDescent="0.2">
      <c r="A9" s="8" t="s">
        <v>31</v>
      </c>
      <c r="B9">
        <v>88112</v>
      </c>
      <c r="C9" s="9">
        <v>43384</v>
      </c>
      <c r="D9">
        <v>8040</v>
      </c>
      <c r="E9">
        <v>110</v>
      </c>
      <c r="G9">
        <v>480</v>
      </c>
      <c r="H9">
        <v>28800</v>
      </c>
      <c r="I9" s="12" t="str">
        <f>VLOOKUP(A9,MCompany[],2,FALSE)</f>
        <v>Bere Kleid</v>
      </c>
      <c r="J9" s="12" t="str">
        <f>VLOOKUP(TableTemp[[#This Row],[Customer Code]],MCustomer[],2,FALSE)</f>
        <v>Werner Strauss</v>
      </c>
      <c r="K9" s="12" t="str">
        <f>VLOOKUP(TableTemp[[#This Row],[Article code]],MArticle[],2,FALSE)</f>
        <v>Smartphone case diamond</v>
      </c>
      <c r="L9" s="12" t="str">
        <f>VLOOKUP(TableTemp[[#This Row],[Company]],MCompany[],3,FALSE)</f>
        <v>EUR</v>
      </c>
      <c r="M9" s="18">
        <f>IF(TableTemp[[#This Row],[Currency]]="EUR",ROUND(VLOOKUP(MONTH(TableTemp[[#This Row],[Document Date]]),MExchange[],2,FALSE)*TableTemp[[#This Row],[Sales Local Currency]],2),ROUND(TableTemp[[#This Row],[Sales Local Currency]],2))</f>
        <v>33838.239999999998</v>
      </c>
      <c r="Q9" s="33"/>
      <c r="S9" t="s">
        <v>54</v>
      </c>
      <c r="T9" s="23">
        <v>36846.080000000002</v>
      </c>
      <c r="U9" s="25">
        <v>5.6796146009277869E-2</v>
      </c>
      <c r="V9" s="26"/>
      <c r="X9" t="s">
        <v>13</v>
      </c>
      <c r="Y9" s="30">
        <v>60203.890000000007</v>
      </c>
      <c r="Z9" s="31">
        <v>1830</v>
      </c>
      <c r="AC9" t="s">
        <v>5</v>
      </c>
      <c r="AD9" s="17">
        <v>1</v>
      </c>
      <c r="AE9" s="34">
        <v>1.3888888888888889E-3</v>
      </c>
      <c r="AG9" s="33"/>
      <c r="AK9" s="22" t="s">
        <v>11</v>
      </c>
      <c r="AL9" s="30">
        <v>2702.36</v>
      </c>
      <c r="AM9" s="30">
        <v>460</v>
      </c>
    </row>
    <row r="10" spans="1:47" x14ac:dyDescent="0.2">
      <c r="A10" s="8" t="s">
        <v>31</v>
      </c>
      <c r="B10">
        <v>88112</v>
      </c>
      <c r="C10" s="9">
        <v>43384</v>
      </c>
      <c r="D10">
        <v>8040</v>
      </c>
      <c r="E10">
        <v>119</v>
      </c>
      <c r="F10" t="s">
        <v>2</v>
      </c>
      <c r="G10">
        <v>630</v>
      </c>
      <c r="H10">
        <v>39060</v>
      </c>
      <c r="I10" s="12" t="str">
        <f>VLOOKUP(A10,MCompany[],2,FALSE)</f>
        <v>Bere Kleid</v>
      </c>
      <c r="J10" s="12" t="str">
        <f>VLOOKUP(TableTemp[[#This Row],[Customer Code]],MCustomer[],2,FALSE)</f>
        <v>Werner Strauss</v>
      </c>
      <c r="K10" s="12" t="str">
        <f>VLOOKUP(TableTemp[[#This Row],[Article code]],MArticle[],2,FALSE)</f>
        <v>Women evening dress long black</v>
      </c>
      <c r="L10" s="12" t="str">
        <f>VLOOKUP(TableTemp[[#This Row],[Company]],MCompany[],3,FALSE)</f>
        <v>EUR</v>
      </c>
      <c r="M10" s="18">
        <f>IF(TableTemp[[#This Row],[Currency]]="EUR",ROUND(VLOOKUP(MONTH(TableTemp[[#This Row],[Document Date]]),MExchange[],2,FALSE)*TableTemp[[#This Row],[Sales Local Currency]],2),ROUND(TableTemp[[#This Row],[Sales Local Currency]],2))</f>
        <v>45893.120000000003</v>
      </c>
      <c r="Q10" s="33"/>
      <c r="S10" t="s">
        <v>65</v>
      </c>
      <c r="T10" s="23">
        <v>648742.60999999987</v>
      </c>
      <c r="U10" s="25">
        <v>1</v>
      </c>
      <c r="V10" s="26"/>
      <c r="X10" t="s">
        <v>12</v>
      </c>
      <c r="Y10" s="30">
        <v>50992.350000000006</v>
      </c>
      <c r="Z10" s="31">
        <v>1550</v>
      </c>
      <c r="AC10" t="s">
        <v>23</v>
      </c>
      <c r="AD10" s="17">
        <v>1</v>
      </c>
      <c r="AE10" s="34">
        <v>4.5871559633027525E-4</v>
      </c>
      <c r="AG10" s="33"/>
      <c r="AK10" s="22" t="s">
        <v>20</v>
      </c>
      <c r="AL10" s="30">
        <v>1832.9</v>
      </c>
      <c r="AM10" s="30">
        <v>260</v>
      </c>
    </row>
    <row r="11" spans="1:47" x14ac:dyDescent="0.2">
      <c r="A11" s="8" t="s">
        <v>31</v>
      </c>
      <c r="B11">
        <v>88112</v>
      </c>
      <c r="C11" s="9">
        <v>43384</v>
      </c>
      <c r="D11">
        <v>8040</v>
      </c>
      <c r="E11">
        <v>120</v>
      </c>
      <c r="G11">
        <v>150</v>
      </c>
      <c r="H11">
        <v>8700</v>
      </c>
      <c r="I11" s="12" t="str">
        <f>VLOOKUP(A11,MCompany[],2,FALSE)</f>
        <v>Bere Kleid</v>
      </c>
      <c r="J11" s="12" t="str">
        <f>VLOOKUP(TableTemp[[#This Row],[Customer Code]],MCustomer[],2,FALSE)</f>
        <v>Werner Strauss</v>
      </c>
      <c r="K11" s="12" t="str">
        <f>VLOOKUP(TableTemp[[#This Row],[Article code]],MArticle[],2,FALSE)</f>
        <v>Women evening dress Cocktail red</v>
      </c>
      <c r="L11" s="12" t="str">
        <f>VLOOKUP(TableTemp[[#This Row],[Company]],MCompany[],3,FALSE)</f>
        <v>EUR</v>
      </c>
      <c r="M11" s="18">
        <f>IF(TableTemp[[#This Row],[Currency]]="EUR",ROUND(VLOOKUP(MONTH(TableTemp[[#This Row],[Document Date]]),MExchange[],2,FALSE)*TableTemp[[#This Row],[Sales Local Currency]],2),ROUND(TableTemp[[#This Row],[Sales Local Currency]],2))</f>
        <v>10221.969999999999</v>
      </c>
      <c r="Q11" s="33"/>
      <c r="V11" s="26"/>
      <c r="X11" t="s">
        <v>15</v>
      </c>
      <c r="Y11" s="30">
        <v>38068.030000000006</v>
      </c>
      <c r="Z11" s="31">
        <v>1620</v>
      </c>
      <c r="AC11" t="s">
        <v>11</v>
      </c>
      <c r="AD11" s="17">
        <v>1</v>
      </c>
      <c r="AE11" s="34">
        <v>3.3898305084745765E-4</v>
      </c>
      <c r="AG11" s="33"/>
      <c r="AK11" s="21" t="s">
        <v>77</v>
      </c>
      <c r="AL11" s="30">
        <v>36846.080000000002</v>
      </c>
      <c r="AM11" s="30">
        <v>1910</v>
      </c>
    </row>
    <row r="12" spans="1:47" x14ac:dyDescent="0.2">
      <c r="A12" s="8" t="s">
        <v>31</v>
      </c>
      <c r="B12">
        <v>88112</v>
      </c>
      <c r="C12" s="9">
        <v>43384</v>
      </c>
      <c r="D12">
        <v>8040</v>
      </c>
      <c r="E12">
        <v>116</v>
      </c>
      <c r="F12">
        <v>4</v>
      </c>
      <c r="G12">
        <v>760</v>
      </c>
      <c r="H12">
        <v>4560</v>
      </c>
      <c r="I12" s="12" t="str">
        <f>VLOOKUP(A12,MCompany[],2,FALSE)</f>
        <v>Bere Kleid</v>
      </c>
      <c r="J12" s="12" t="str">
        <f>VLOOKUP(TableTemp[[#This Row],[Customer Code]],MCustomer[],2,FALSE)</f>
        <v>Werner Strauss</v>
      </c>
      <c r="K12" s="12" t="str">
        <f>VLOOKUP(TableTemp[[#This Row],[Article code]],MArticle[],2,FALSE)</f>
        <v>Unisex tank top white</v>
      </c>
      <c r="L12" s="12" t="str">
        <f>VLOOKUP(TableTemp[[#This Row],[Company]],MCompany[],3,FALSE)</f>
        <v>EUR</v>
      </c>
      <c r="M12" s="18">
        <f>IF(TableTemp[[#This Row],[Currency]]="EUR",ROUND(VLOOKUP(MONTH(TableTemp[[#This Row],[Document Date]]),MExchange[],2,FALSE)*TableTemp[[#This Row],[Sales Local Currency]],2),ROUND(TableTemp[[#This Row],[Sales Local Currency]],2))</f>
        <v>5357.72</v>
      </c>
      <c r="Q12" s="33"/>
      <c r="V12" s="26"/>
      <c r="X12" t="s">
        <v>10</v>
      </c>
      <c r="Y12" s="30">
        <v>24532.73</v>
      </c>
      <c r="Z12" s="31">
        <v>1740</v>
      </c>
      <c r="AC12" t="s">
        <v>10</v>
      </c>
      <c r="AD12" s="17">
        <v>1</v>
      </c>
      <c r="AE12" s="34">
        <v>5.7471264367816091E-4</v>
      </c>
      <c r="AG12" s="33"/>
      <c r="AK12" s="21" t="s">
        <v>80</v>
      </c>
      <c r="AL12" s="30"/>
      <c r="AM12" s="30"/>
    </row>
    <row r="13" spans="1:47" x14ac:dyDescent="0.2">
      <c r="A13" s="8" t="s">
        <v>31</v>
      </c>
      <c r="B13">
        <v>88112</v>
      </c>
      <c r="C13" s="9">
        <v>43384</v>
      </c>
      <c r="D13">
        <v>8040</v>
      </c>
      <c r="E13">
        <v>111</v>
      </c>
      <c r="G13">
        <v>590</v>
      </c>
      <c r="H13">
        <v>11800</v>
      </c>
      <c r="I13" s="12" t="str">
        <f>VLOOKUP(A13,MCompany[],2,FALSE)</f>
        <v>Bere Kleid</v>
      </c>
      <c r="J13" s="12" t="str">
        <f>VLOOKUP(TableTemp[[#This Row],[Customer Code]],MCustomer[],2,FALSE)</f>
        <v>Werner Strauss</v>
      </c>
      <c r="K13" s="12" t="str">
        <f>VLOOKUP(TableTemp[[#This Row],[Article code]],MArticle[],2,FALSE)</f>
        <v>Smartphone case simple</v>
      </c>
      <c r="L13" s="12" t="str">
        <f>VLOOKUP(TableTemp[[#This Row],[Company]],MCompany[],3,FALSE)</f>
        <v>EUR</v>
      </c>
      <c r="M13" s="18">
        <f>IF(TableTemp[[#This Row],[Currency]]="EUR",ROUND(VLOOKUP(MONTH(TableTemp[[#This Row],[Document Date]]),MExchange[],2,FALSE)*TableTemp[[#This Row],[Sales Local Currency]],2),ROUND(TableTemp[[#This Row],[Sales Local Currency]],2))</f>
        <v>13864.28</v>
      </c>
      <c r="Q13" s="33"/>
      <c r="V13" s="26"/>
      <c r="X13" t="s">
        <v>11</v>
      </c>
      <c r="Y13" s="30">
        <v>17330.36</v>
      </c>
      <c r="Z13" s="31">
        <v>2950</v>
      </c>
      <c r="AC13" t="s">
        <v>65</v>
      </c>
      <c r="AD13" s="17">
        <v>16</v>
      </c>
      <c r="AE13" s="34">
        <v>1.2598425196850393E-3</v>
      </c>
      <c r="AG13" s="33"/>
      <c r="AK13" s="22" t="s">
        <v>24</v>
      </c>
      <c r="AL13" s="30">
        <v>42250.810000000005</v>
      </c>
      <c r="AM13" s="30">
        <v>620</v>
      </c>
    </row>
    <row r="14" spans="1:47" x14ac:dyDescent="0.2">
      <c r="A14" s="8" t="s">
        <v>31</v>
      </c>
      <c r="B14">
        <v>88112</v>
      </c>
      <c r="C14" s="9">
        <v>43384</v>
      </c>
      <c r="D14">
        <v>8040</v>
      </c>
      <c r="E14">
        <v>110</v>
      </c>
      <c r="G14">
        <v>530</v>
      </c>
      <c r="H14">
        <v>31800</v>
      </c>
      <c r="I14" s="12" t="str">
        <f>VLOOKUP(A14,MCompany[],2,FALSE)</f>
        <v>Bere Kleid</v>
      </c>
      <c r="J14" s="12" t="str">
        <f>VLOOKUP(TableTemp[[#This Row],[Customer Code]],MCustomer[],2,FALSE)</f>
        <v>Werner Strauss</v>
      </c>
      <c r="K14" s="12" t="str">
        <f>VLOOKUP(TableTemp[[#This Row],[Article code]],MArticle[],2,FALSE)</f>
        <v>Smartphone case diamond</v>
      </c>
      <c r="L14" s="12" t="str">
        <f>VLOOKUP(TableTemp[[#This Row],[Company]],MCompany[],3,FALSE)</f>
        <v>EUR</v>
      </c>
      <c r="M14" s="18">
        <f>IF(TableTemp[[#This Row],[Currency]]="EUR",ROUND(VLOOKUP(MONTH(TableTemp[[#This Row],[Document Date]]),MExchange[],2,FALSE)*TableTemp[[#This Row],[Sales Local Currency]],2),ROUND(TableTemp[[#This Row],[Sales Local Currency]],2))</f>
        <v>37363.06</v>
      </c>
      <c r="Q14" s="33"/>
      <c r="V14" s="26"/>
      <c r="X14" t="s">
        <v>9</v>
      </c>
      <c r="Y14" s="30">
        <v>10433.460000000001</v>
      </c>
      <c r="Z14" s="31">
        <v>740</v>
      </c>
      <c r="AG14" s="33"/>
      <c r="AK14" s="22" t="s">
        <v>12</v>
      </c>
      <c r="AL14" s="30">
        <v>26318.63</v>
      </c>
      <c r="AM14" s="30">
        <v>800</v>
      </c>
    </row>
    <row r="15" spans="1:47" x14ac:dyDescent="0.2">
      <c r="A15" s="8" t="s">
        <v>31</v>
      </c>
      <c r="B15">
        <v>88112</v>
      </c>
      <c r="C15" s="9">
        <v>43384</v>
      </c>
      <c r="D15">
        <v>8040</v>
      </c>
      <c r="E15">
        <v>109</v>
      </c>
      <c r="G15">
        <v>260</v>
      </c>
      <c r="H15">
        <v>7280</v>
      </c>
      <c r="I15" s="12" t="str">
        <f>VLOOKUP(A15,MCompany[],2,FALSE)</f>
        <v>Bere Kleid</v>
      </c>
      <c r="J15" s="12" t="str">
        <f>VLOOKUP(TableTemp[[#This Row],[Customer Code]],MCustomer[],2,FALSE)</f>
        <v>Werner Strauss</v>
      </c>
      <c r="K15" s="12" t="str">
        <f>VLOOKUP(TableTemp[[#This Row],[Article code]],MArticle[],2,FALSE)</f>
        <v>Laptop bag red</v>
      </c>
      <c r="L15" s="12" t="str">
        <f>VLOOKUP(TableTemp[[#This Row],[Company]],MCompany[],3,FALSE)</f>
        <v>EUR</v>
      </c>
      <c r="M15" s="18">
        <f>IF(TableTemp[[#This Row],[Currency]]="EUR",ROUND(VLOOKUP(MONTH(TableTemp[[#This Row],[Document Date]]),MExchange[],2,FALSE)*TableTemp[[#This Row],[Sales Local Currency]],2),ROUND(TableTemp[[#This Row],[Sales Local Currency]],2))</f>
        <v>8553.56</v>
      </c>
      <c r="Q15" s="33"/>
      <c r="V15" s="26"/>
      <c r="X15" t="s">
        <v>5</v>
      </c>
      <c r="Y15" s="30">
        <v>8459.5600000000013</v>
      </c>
      <c r="Z15" s="31">
        <v>720</v>
      </c>
      <c r="AG15" s="33"/>
      <c r="AK15" s="22" t="s">
        <v>23</v>
      </c>
      <c r="AL15" s="30">
        <v>26224.639999999999</v>
      </c>
      <c r="AM15" s="30">
        <v>360</v>
      </c>
    </row>
    <row r="16" spans="1:47" x14ac:dyDescent="0.2">
      <c r="A16" s="8" t="s">
        <v>31</v>
      </c>
      <c r="B16">
        <v>85442</v>
      </c>
      <c r="C16" s="9">
        <v>43388</v>
      </c>
      <c r="D16">
        <v>8050</v>
      </c>
      <c r="E16">
        <v>107</v>
      </c>
      <c r="G16">
        <v>270</v>
      </c>
      <c r="H16">
        <v>1350</v>
      </c>
      <c r="I16" s="12" t="str">
        <f>VLOOKUP(A16,MCompany[],2,FALSE)</f>
        <v>Bere Kleid</v>
      </c>
      <c r="J16" s="12" t="str">
        <f>VLOOKUP(TableTemp[[#This Row],[Customer Code]],MCustomer[],2,FALSE)</f>
        <v>Aida GmbH</v>
      </c>
      <c r="K16" s="12" t="str">
        <f>VLOOKUP(TableTemp[[#This Row],[Article code]],MArticle[],2,FALSE)</f>
        <v>Women basics</v>
      </c>
      <c r="L16" s="12" t="str">
        <f>VLOOKUP(TableTemp[[#This Row],[Company]],MCompany[],3,FALSE)</f>
        <v>EUR</v>
      </c>
      <c r="M16" s="18">
        <f>IF(TableTemp[[#This Row],[Currency]]="EUR",ROUND(VLOOKUP(MONTH(TableTemp[[#This Row],[Document Date]]),MExchange[],2,FALSE)*TableTemp[[#This Row],[Sales Local Currency]],2),ROUND(TableTemp[[#This Row],[Sales Local Currency]],2))</f>
        <v>1586.17</v>
      </c>
      <c r="Q16" s="33"/>
      <c r="V16" s="26"/>
      <c r="X16" t="s">
        <v>19</v>
      </c>
      <c r="Y16" s="30">
        <v>8459.56</v>
      </c>
      <c r="Z16" s="31">
        <v>1200</v>
      </c>
      <c r="AG16" s="33"/>
      <c r="AK16" s="22" t="s">
        <v>10</v>
      </c>
      <c r="AL16" s="30">
        <v>12266.369999999999</v>
      </c>
      <c r="AM16" s="30">
        <v>870</v>
      </c>
    </row>
    <row r="17" spans="1:39" x14ac:dyDescent="0.2">
      <c r="A17" s="8" t="s">
        <v>31</v>
      </c>
      <c r="B17">
        <v>85442</v>
      </c>
      <c r="C17" s="9">
        <v>43388</v>
      </c>
      <c r="D17">
        <v>8050</v>
      </c>
      <c r="E17">
        <v>103</v>
      </c>
      <c r="G17">
        <v>630</v>
      </c>
      <c r="H17">
        <v>7560</v>
      </c>
      <c r="I17" s="12" t="str">
        <f>VLOOKUP(A17,MCompany[],2,FALSE)</f>
        <v>Bere Kleid</v>
      </c>
      <c r="J17" s="12" t="str">
        <f>VLOOKUP(TableTemp[[#This Row],[Customer Code]],MCustomer[],2,FALSE)</f>
        <v>Aida GmbH</v>
      </c>
      <c r="K17" s="12" t="str">
        <f>VLOOKUP(TableTemp[[#This Row],[Article code]],MArticle[],2,FALSE)</f>
        <v>Women type T simple white</v>
      </c>
      <c r="L17" s="12" t="str">
        <f>VLOOKUP(TableTemp[[#This Row],[Company]],MCompany[],3,FALSE)</f>
        <v>EUR</v>
      </c>
      <c r="M17" s="18">
        <f>IF(TableTemp[[#This Row],[Currency]]="EUR",ROUND(VLOOKUP(MONTH(TableTemp[[#This Row],[Document Date]]),MExchange[],2,FALSE)*TableTemp[[#This Row],[Sales Local Currency]],2),ROUND(TableTemp[[#This Row],[Sales Local Currency]],2))</f>
        <v>8882.5400000000009</v>
      </c>
      <c r="Q17" s="33"/>
      <c r="V17" s="26"/>
      <c r="X17" t="s">
        <v>20</v>
      </c>
      <c r="Y17" s="30">
        <v>7190.6200000000008</v>
      </c>
      <c r="Z17" s="31">
        <v>1020</v>
      </c>
      <c r="AG17" s="33"/>
      <c r="AK17" s="22" t="s">
        <v>9</v>
      </c>
      <c r="AL17" s="30">
        <v>8882.5400000000009</v>
      </c>
      <c r="AM17" s="30">
        <v>630</v>
      </c>
    </row>
    <row r="18" spans="1:39" x14ac:dyDescent="0.2">
      <c r="A18" s="8" t="s">
        <v>31</v>
      </c>
      <c r="B18">
        <v>85442</v>
      </c>
      <c r="C18" s="9">
        <v>43388</v>
      </c>
      <c r="D18">
        <v>8050</v>
      </c>
      <c r="E18">
        <v>104</v>
      </c>
      <c r="G18">
        <v>440</v>
      </c>
      <c r="H18">
        <v>5280</v>
      </c>
      <c r="I18" s="12" t="str">
        <f>VLOOKUP(A18,MCompany[],2,FALSE)</f>
        <v>Bere Kleid</v>
      </c>
      <c r="J18" s="12" t="str">
        <f>VLOOKUP(TableTemp[[#This Row],[Customer Code]],MCustomer[],2,FALSE)</f>
        <v>Aida GmbH</v>
      </c>
      <c r="K18" s="12" t="str">
        <f>VLOOKUP(TableTemp[[#This Row],[Article code]],MArticle[],2,FALSE)</f>
        <v>Women type T simple black</v>
      </c>
      <c r="L18" s="12" t="str">
        <f>VLOOKUP(TableTemp[[#This Row],[Company]],MCompany[],3,FALSE)</f>
        <v>EUR</v>
      </c>
      <c r="M18" s="18">
        <f>IF(TableTemp[[#This Row],[Currency]]="EUR",ROUND(VLOOKUP(MONTH(TableTemp[[#This Row],[Document Date]]),MExchange[],2,FALSE)*TableTemp[[#This Row],[Sales Local Currency]],2),ROUND(TableTemp[[#This Row],[Sales Local Currency]],2))</f>
        <v>6203.68</v>
      </c>
      <c r="Q18" s="33"/>
      <c r="V18" s="26"/>
      <c r="X18" t="s">
        <v>65</v>
      </c>
      <c r="Y18" s="30">
        <v>648742.61</v>
      </c>
      <c r="Z18" s="31">
        <v>19350</v>
      </c>
      <c r="AG18" s="33"/>
      <c r="AK18" s="22" t="s">
        <v>19</v>
      </c>
      <c r="AL18" s="30">
        <v>5710.2</v>
      </c>
      <c r="AM18" s="30">
        <v>810</v>
      </c>
    </row>
    <row r="19" spans="1:39" x14ac:dyDescent="0.2">
      <c r="A19" s="8" t="s">
        <v>31</v>
      </c>
      <c r="B19">
        <v>85442</v>
      </c>
      <c r="C19" s="9">
        <v>43388</v>
      </c>
      <c r="D19">
        <v>8050</v>
      </c>
      <c r="E19">
        <v>120</v>
      </c>
      <c r="G19">
        <v>500</v>
      </c>
      <c r="H19">
        <v>29000</v>
      </c>
      <c r="I19" s="12" t="str">
        <f>VLOOKUP(A19,MCompany[],2,FALSE)</f>
        <v>Bere Kleid</v>
      </c>
      <c r="J19" s="12" t="str">
        <f>VLOOKUP(TableTemp[[#This Row],[Customer Code]],MCustomer[],2,FALSE)</f>
        <v>Aida GmbH</v>
      </c>
      <c r="K19" s="12" t="str">
        <f>VLOOKUP(TableTemp[[#This Row],[Article code]],MArticle[],2,FALSE)</f>
        <v>Women evening dress Cocktail red</v>
      </c>
      <c r="L19" s="12" t="str">
        <f>VLOOKUP(TableTemp[[#This Row],[Company]],MCompany[],3,FALSE)</f>
        <v>EUR</v>
      </c>
      <c r="M19" s="18">
        <f>IF(TableTemp[[#This Row],[Currency]]="EUR",ROUND(VLOOKUP(MONTH(TableTemp[[#This Row],[Document Date]]),MExchange[],2,FALSE)*TableTemp[[#This Row],[Sales Local Currency]],2),ROUND(TableTemp[[#This Row],[Sales Local Currency]],2))</f>
        <v>34073.230000000003</v>
      </c>
      <c r="Q19" s="33"/>
      <c r="V19" s="26"/>
      <c r="AG19" s="33"/>
      <c r="AK19" s="22" t="s">
        <v>11</v>
      </c>
      <c r="AL19" s="30">
        <v>5639.71</v>
      </c>
      <c r="AM19" s="30">
        <v>960</v>
      </c>
    </row>
    <row r="20" spans="1:39" x14ac:dyDescent="0.2">
      <c r="A20" s="8" t="s">
        <v>31</v>
      </c>
      <c r="B20">
        <v>85442</v>
      </c>
      <c r="C20" s="9">
        <v>43388</v>
      </c>
      <c r="D20">
        <v>8050</v>
      </c>
      <c r="E20">
        <v>119</v>
      </c>
      <c r="F20">
        <v>1</v>
      </c>
      <c r="G20">
        <v>360</v>
      </c>
      <c r="H20">
        <v>22320</v>
      </c>
      <c r="I20" s="12" t="str">
        <f>VLOOKUP(A20,MCompany[],2,FALSE)</f>
        <v>Bere Kleid</v>
      </c>
      <c r="J20" s="12" t="str">
        <f>VLOOKUP(TableTemp[[#This Row],[Customer Code]],MCustomer[],2,FALSE)</f>
        <v>Aida GmbH</v>
      </c>
      <c r="K20" s="12" t="str">
        <f>VLOOKUP(TableTemp[[#This Row],[Article code]],MArticle[],2,FALSE)</f>
        <v>Women evening dress long black</v>
      </c>
      <c r="L20" s="12" t="str">
        <f>VLOOKUP(TableTemp[[#This Row],[Company]],MCompany[],3,FALSE)</f>
        <v>EUR</v>
      </c>
      <c r="M20" s="18">
        <f>IF(TableTemp[[#This Row],[Currency]]="EUR",ROUND(VLOOKUP(MONTH(TableTemp[[#This Row],[Document Date]]),MExchange[],2,FALSE)*TableTemp[[#This Row],[Sales Local Currency]],2),ROUND(TableTemp[[#This Row],[Sales Local Currency]],2))</f>
        <v>26224.639999999999</v>
      </c>
      <c r="Q20" s="33"/>
      <c r="V20" s="26"/>
      <c r="AG20" s="33"/>
      <c r="AK20" s="22" t="s">
        <v>5</v>
      </c>
      <c r="AL20" s="30">
        <v>1409.93</v>
      </c>
      <c r="AM20" s="30">
        <v>120</v>
      </c>
    </row>
    <row r="21" spans="1:39" x14ac:dyDescent="0.2">
      <c r="A21" s="8" t="s">
        <v>31</v>
      </c>
      <c r="B21">
        <v>85442</v>
      </c>
      <c r="C21" s="9">
        <v>43388</v>
      </c>
      <c r="D21">
        <v>8050</v>
      </c>
      <c r="E21">
        <v>115</v>
      </c>
      <c r="G21">
        <v>810</v>
      </c>
      <c r="H21">
        <v>4860</v>
      </c>
      <c r="I21" s="12" t="str">
        <f>VLOOKUP(A21,MCompany[],2,FALSE)</f>
        <v>Bere Kleid</v>
      </c>
      <c r="J21" s="12" t="str">
        <f>VLOOKUP(TableTemp[[#This Row],[Customer Code]],MCustomer[],2,FALSE)</f>
        <v>Aida GmbH</v>
      </c>
      <c r="K21" s="12" t="str">
        <f>VLOOKUP(TableTemp[[#This Row],[Article code]],MArticle[],2,FALSE)</f>
        <v>Unisex tank top black</v>
      </c>
      <c r="L21" s="12" t="str">
        <f>VLOOKUP(TableTemp[[#This Row],[Company]],MCompany[],3,FALSE)</f>
        <v>EUR</v>
      </c>
      <c r="M21" s="18">
        <f>IF(TableTemp[[#This Row],[Currency]]="EUR",ROUND(VLOOKUP(MONTH(TableTemp[[#This Row],[Document Date]]),MExchange[],2,FALSE)*TableTemp[[#This Row],[Sales Local Currency]],2),ROUND(TableTemp[[#This Row],[Sales Local Currency]],2))</f>
        <v>5710.2</v>
      </c>
      <c r="Q21" s="33"/>
      <c r="V21" s="26"/>
      <c r="AG21" s="33"/>
      <c r="AK21" s="21" t="s">
        <v>82</v>
      </c>
      <c r="AL21" s="30">
        <v>128702.82999999999</v>
      </c>
      <c r="AM21" s="30">
        <v>5170</v>
      </c>
    </row>
    <row r="22" spans="1:39" x14ac:dyDescent="0.2">
      <c r="A22" s="8" t="s">
        <v>31</v>
      </c>
      <c r="B22">
        <v>85442</v>
      </c>
      <c r="C22" s="9">
        <v>43388</v>
      </c>
      <c r="D22">
        <v>8050</v>
      </c>
      <c r="E22">
        <v>108</v>
      </c>
      <c r="G22">
        <v>800</v>
      </c>
      <c r="H22">
        <v>22400</v>
      </c>
      <c r="I22" s="12" t="str">
        <f>VLOOKUP(A22,MCompany[],2,FALSE)</f>
        <v>Bere Kleid</v>
      </c>
      <c r="J22" s="12" t="str">
        <f>VLOOKUP(TableTemp[[#This Row],[Customer Code]],MCustomer[],2,FALSE)</f>
        <v>Aida GmbH</v>
      </c>
      <c r="K22" s="12" t="str">
        <f>VLOOKUP(TableTemp[[#This Row],[Article code]],MArticle[],2,FALSE)</f>
        <v>Laptop bag black</v>
      </c>
      <c r="L22" s="12" t="str">
        <f>VLOOKUP(TableTemp[[#This Row],[Company]],MCompany[],3,FALSE)</f>
        <v>EUR</v>
      </c>
      <c r="M22" s="18">
        <f>IF(TableTemp[[#This Row],[Currency]]="EUR",ROUND(VLOOKUP(MONTH(TableTemp[[#This Row],[Document Date]]),MExchange[],2,FALSE)*TableTemp[[#This Row],[Sales Local Currency]],2),ROUND(TableTemp[[#This Row],[Sales Local Currency]],2))</f>
        <v>26318.63</v>
      </c>
      <c r="Q22" s="33"/>
      <c r="V22" s="26"/>
      <c r="AG22" s="33"/>
      <c r="AK22" s="21" t="s">
        <v>79</v>
      </c>
      <c r="AL22" s="30"/>
      <c r="AM22" s="30"/>
    </row>
    <row r="23" spans="1:39" x14ac:dyDescent="0.2">
      <c r="A23" s="8" t="s">
        <v>31</v>
      </c>
      <c r="B23">
        <v>88588</v>
      </c>
      <c r="C23" s="9">
        <v>43388</v>
      </c>
      <c r="D23">
        <v>8040</v>
      </c>
      <c r="E23">
        <v>120</v>
      </c>
      <c r="G23">
        <v>470</v>
      </c>
      <c r="H23">
        <v>27260</v>
      </c>
      <c r="I23" s="12" t="str">
        <f>VLOOKUP(A23,MCompany[],2,FALSE)</f>
        <v>Bere Kleid</v>
      </c>
      <c r="J23" s="12" t="str">
        <f>VLOOKUP(TableTemp[[#This Row],[Customer Code]],MCustomer[],2,FALSE)</f>
        <v>Werner Strauss</v>
      </c>
      <c r="K23" s="12" t="str">
        <f>VLOOKUP(TableTemp[[#This Row],[Article code]],MArticle[],2,FALSE)</f>
        <v>Women evening dress Cocktail red</v>
      </c>
      <c r="L23" s="12" t="str">
        <f>VLOOKUP(TableTemp[[#This Row],[Company]],MCompany[],3,FALSE)</f>
        <v>EUR</v>
      </c>
      <c r="M23" s="18">
        <f>IF(TableTemp[[#This Row],[Currency]]="EUR",ROUND(VLOOKUP(MONTH(TableTemp[[#This Row],[Document Date]]),MExchange[],2,FALSE)*TableTemp[[#This Row],[Sales Local Currency]],2),ROUND(TableTemp[[#This Row],[Sales Local Currency]],2))</f>
        <v>32028.84</v>
      </c>
      <c r="Q23" s="33"/>
      <c r="V23" s="26"/>
      <c r="AG23" s="33"/>
      <c r="AK23" s="22" t="s">
        <v>14</v>
      </c>
      <c r="AL23" s="30">
        <v>119138.81</v>
      </c>
      <c r="AM23" s="30">
        <v>1690</v>
      </c>
    </row>
    <row r="24" spans="1:39" x14ac:dyDescent="0.2">
      <c r="A24" s="8" t="s">
        <v>31</v>
      </c>
      <c r="B24">
        <v>88588</v>
      </c>
      <c r="C24" s="9">
        <v>43388</v>
      </c>
      <c r="D24">
        <v>8040</v>
      </c>
      <c r="E24">
        <v>119</v>
      </c>
      <c r="G24">
        <v>860</v>
      </c>
      <c r="H24">
        <v>53320</v>
      </c>
      <c r="I24" s="12" t="str">
        <f>VLOOKUP(A24,MCompany[],2,FALSE)</f>
        <v>Bere Kleid</v>
      </c>
      <c r="J24" s="12" t="str">
        <f>VLOOKUP(TableTemp[[#This Row],[Customer Code]],MCustomer[],2,FALSE)</f>
        <v>Werner Strauss</v>
      </c>
      <c r="K24" s="12" t="str">
        <f>VLOOKUP(TableTemp[[#This Row],[Article code]],MArticle[],2,FALSE)</f>
        <v>Women evening dress long black</v>
      </c>
      <c r="L24" s="12" t="str">
        <f>VLOOKUP(TableTemp[[#This Row],[Company]],MCompany[],3,FALSE)</f>
        <v>EUR</v>
      </c>
      <c r="M24" s="18">
        <f>IF(TableTemp[[#This Row],[Currency]]="EUR",ROUND(VLOOKUP(MONTH(TableTemp[[#This Row],[Document Date]]),MExchange[],2,FALSE)*TableTemp[[#This Row],[Sales Local Currency]],2),ROUND(TableTemp[[#This Row],[Sales Local Currency]],2))</f>
        <v>62647.75</v>
      </c>
      <c r="Q24" s="33"/>
      <c r="V24" s="26"/>
      <c r="AG24" s="33"/>
      <c r="AK24" s="22" t="s">
        <v>23</v>
      </c>
      <c r="AL24" s="30">
        <v>108540.87</v>
      </c>
      <c r="AM24" s="30">
        <v>1490</v>
      </c>
    </row>
    <row r="25" spans="1:39" x14ac:dyDescent="0.2">
      <c r="A25" s="8" t="s">
        <v>31</v>
      </c>
      <c r="B25">
        <v>88588</v>
      </c>
      <c r="C25" s="9">
        <v>43388</v>
      </c>
      <c r="D25">
        <v>8040</v>
      </c>
      <c r="E25">
        <v>110</v>
      </c>
      <c r="G25">
        <v>180</v>
      </c>
      <c r="H25">
        <v>10800</v>
      </c>
      <c r="I25" s="12" t="str">
        <f>VLOOKUP(A25,MCompany[],2,FALSE)</f>
        <v>Bere Kleid</v>
      </c>
      <c r="J25" s="12" t="str">
        <f>VLOOKUP(TableTemp[[#This Row],[Customer Code]],MCustomer[],2,FALSE)</f>
        <v>Werner Strauss</v>
      </c>
      <c r="K25" s="12" t="str">
        <f>VLOOKUP(TableTemp[[#This Row],[Article code]],MArticle[],2,FALSE)</f>
        <v>Smartphone case diamond</v>
      </c>
      <c r="L25" s="12" t="str">
        <f>VLOOKUP(TableTemp[[#This Row],[Company]],MCompany[],3,FALSE)</f>
        <v>EUR</v>
      </c>
      <c r="M25" s="18">
        <f>IF(TableTemp[[#This Row],[Currency]]="EUR",ROUND(VLOOKUP(MONTH(TableTemp[[#This Row],[Document Date]]),MExchange[],2,FALSE)*TableTemp[[#This Row],[Sales Local Currency]],2),ROUND(TableTemp[[#This Row],[Sales Local Currency]],2))</f>
        <v>12689.34</v>
      </c>
      <c r="Q25" s="33"/>
      <c r="V25" s="26"/>
      <c r="AG25" s="33"/>
      <c r="AK25" s="22" t="s">
        <v>24</v>
      </c>
      <c r="AL25" s="30">
        <v>62694.75</v>
      </c>
      <c r="AM25" s="30">
        <v>920</v>
      </c>
    </row>
    <row r="26" spans="1:39" x14ac:dyDescent="0.2">
      <c r="A26" s="8" t="s">
        <v>31</v>
      </c>
      <c r="B26">
        <v>88588</v>
      </c>
      <c r="C26" s="9">
        <v>43388</v>
      </c>
      <c r="D26">
        <v>8040</v>
      </c>
      <c r="E26">
        <v>111</v>
      </c>
      <c r="G26">
        <v>750</v>
      </c>
      <c r="H26">
        <v>15000</v>
      </c>
      <c r="I26" s="12" t="str">
        <f>VLOOKUP(A26,MCompany[],2,FALSE)</f>
        <v>Bere Kleid</v>
      </c>
      <c r="J26" s="12" t="str">
        <f>VLOOKUP(TableTemp[[#This Row],[Customer Code]],MCustomer[],2,FALSE)</f>
        <v>Werner Strauss</v>
      </c>
      <c r="K26" s="12" t="str">
        <f>VLOOKUP(TableTemp[[#This Row],[Article code]],MArticle[],2,FALSE)</f>
        <v>Smartphone case simple</v>
      </c>
      <c r="L26" s="12" t="str">
        <f>VLOOKUP(TableTemp[[#This Row],[Company]],MCompany[],3,FALSE)</f>
        <v>EUR</v>
      </c>
      <c r="M26" s="18">
        <f>IF(TableTemp[[#This Row],[Currency]]="EUR",ROUND(VLOOKUP(MONTH(TableTemp[[#This Row],[Document Date]]),MExchange[],2,FALSE)*TableTemp[[#This Row],[Sales Local Currency]],2),ROUND(TableTemp[[#This Row],[Sales Local Currency]],2))</f>
        <v>17624.09</v>
      </c>
      <c r="Q26" s="33"/>
      <c r="V26" s="26"/>
      <c r="AG26" s="33"/>
      <c r="AK26" s="22" t="s">
        <v>15</v>
      </c>
      <c r="AL26" s="30">
        <v>31488.370000000003</v>
      </c>
      <c r="AM26" s="30">
        <v>1340</v>
      </c>
    </row>
    <row r="27" spans="1:39" x14ac:dyDescent="0.2">
      <c r="A27" s="8" t="s">
        <v>31</v>
      </c>
      <c r="B27">
        <v>88588</v>
      </c>
      <c r="C27" s="9">
        <v>43388</v>
      </c>
      <c r="D27">
        <v>8040</v>
      </c>
      <c r="E27">
        <v>109</v>
      </c>
      <c r="G27">
        <v>560</v>
      </c>
      <c r="H27">
        <v>15680</v>
      </c>
      <c r="I27" s="12" t="str">
        <f>VLOOKUP(A27,MCompany[],2,FALSE)</f>
        <v>Bere Kleid</v>
      </c>
      <c r="J27" s="12" t="str">
        <f>VLOOKUP(TableTemp[[#This Row],[Customer Code]],MCustomer[],2,FALSE)</f>
        <v>Werner Strauss</v>
      </c>
      <c r="K27" s="12" t="str">
        <f>VLOOKUP(TableTemp[[#This Row],[Article code]],MArticle[],2,FALSE)</f>
        <v>Laptop bag red</v>
      </c>
      <c r="L27" s="12" t="str">
        <f>VLOOKUP(TableTemp[[#This Row],[Company]],MCompany[],3,FALSE)</f>
        <v>EUR</v>
      </c>
      <c r="M27" s="18">
        <f>IF(TableTemp[[#This Row],[Currency]]="EUR",ROUND(VLOOKUP(MONTH(TableTemp[[#This Row],[Document Date]]),MExchange[],2,FALSE)*TableTemp[[#This Row],[Sales Local Currency]],2),ROUND(TableTemp[[#This Row],[Sales Local Currency]],2))</f>
        <v>18423.04</v>
      </c>
      <c r="Q27" s="33"/>
      <c r="V27" s="26"/>
      <c r="AG27" s="33"/>
      <c r="AK27" s="22" t="s">
        <v>13</v>
      </c>
      <c r="AL27" s="30">
        <v>26976.6</v>
      </c>
      <c r="AM27" s="30">
        <v>820</v>
      </c>
    </row>
    <row r="28" spans="1:39" x14ac:dyDescent="0.2">
      <c r="A28" s="8" t="s">
        <v>31</v>
      </c>
      <c r="B28">
        <v>88588</v>
      </c>
      <c r="C28" s="9">
        <v>43388</v>
      </c>
      <c r="D28">
        <v>8040</v>
      </c>
      <c r="E28">
        <v>105</v>
      </c>
      <c r="G28">
        <v>130</v>
      </c>
      <c r="H28">
        <v>1300</v>
      </c>
      <c r="I28" s="12" t="str">
        <f>VLOOKUP(A28,MCompany[],2,FALSE)</f>
        <v>Bere Kleid</v>
      </c>
      <c r="J28" s="12" t="str">
        <f>VLOOKUP(TableTemp[[#This Row],[Customer Code]],MCustomer[],2,FALSE)</f>
        <v>Werner Strauss</v>
      </c>
      <c r="K28" s="12" t="str">
        <f>VLOOKUP(TableTemp[[#This Row],[Article code]],MArticle[],2,FALSE)</f>
        <v>Women crop top black</v>
      </c>
      <c r="L28" s="12" t="str">
        <f>VLOOKUP(TableTemp[[#This Row],[Company]],MCompany[],3,FALSE)</f>
        <v>EUR</v>
      </c>
      <c r="M28" s="18">
        <f>IF(TableTemp[[#This Row],[Currency]]="EUR",ROUND(VLOOKUP(MONTH(TableTemp[[#This Row],[Document Date]]),MExchange[],2,FALSE)*TableTemp[[#This Row],[Sales Local Currency]],2),ROUND(TableTemp[[#This Row],[Sales Local Currency]],2))</f>
        <v>1527.42</v>
      </c>
      <c r="Q28" s="33"/>
      <c r="V28" s="26"/>
      <c r="AG28" s="33"/>
      <c r="AK28" s="22" t="s">
        <v>10</v>
      </c>
      <c r="AL28" s="30">
        <v>12266.36</v>
      </c>
      <c r="AM28" s="30">
        <v>870</v>
      </c>
    </row>
    <row r="29" spans="1:39" x14ac:dyDescent="0.2">
      <c r="A29" s="8" t="s">
        <v>31</v>
      </c>
      <c r="B29">
        <v>88588</v>
      </c>
      <c r="C29" s="9">
        <v>43388</v>
      </c>
      <c r="D29">
        <v>8040</v>
      </c>
      <c r="E29">
        <v>103</v>
      </c>
      <c r="G29">
        <v>110</v>
      </c>
      <c r="H29">
        <v>1320</v>
      </c>
      <c r="I29" s="12" t="str">
        <f>VLOOKUP(A29,MCompany[],2,FALSE)</f>
        <v>Bere Kleid</v>
      </c>
      <c r="J29" s="12" t="str">
        <f>VLOOKUP(TableTemp[[#This Row],[Customer Code]],MCustomer[],2,FALSE)</f>
        <v>Werner Strauss</v>
      </c>
      <c r="K29" s="12" t="str">
        <f>VLOOKUP(TableTemp[[#This Row],[Article code]],MArticle[],2,FALSE)</f>
        <v>Women type T simple white</v>
      </c>
      <c r="L29" s="12" t="str">
        <f>VLOOKUP(TableTemp[[#This Row],[Company]],MCompany[],3,FALSE)</f>
        <v>EUR</v>
      </c>
      <c r="M29" s="18">
        <f>IF(TableTemp[[#This Row],[Currency]]="EUR",ROUND(VLOOKUP(MONTH(TableTemp[[#This Row],[Document Date]]),MExchange[],2,FALSE)*TableTemp[[#This Row],[Sales Local Currency]],2),ROUND(TableTemp[[#This Row],[Sales Local Currency]],2))</f>
        <v>1550.92</v>
      </c>
      <c r="Q29" s="33"/>
      <c r="V29" s="26"/>
      <c r="AG29" s="33"/>
      <c r="AK29" s="22" t="s">
        <v>11</v>
      </c>
      <c r="AL29" s="30">
        <v>8988.2900000000009</v>
      </c>
      <c r="AM29" s="30">
        <v>1530</v>
      </c>
    </row>
    <row r="30" spans="1:39" x14ac:dyDescent="0.2">
      <c r="A30" s="8" t="s">
        <v>31</v>
      </c>
      <c r="B30">
        <v>88544</v>
      </c>
      <c r="C30" s="9">
        <v>43395</v>
      </c>
      <c r="D30">
        <v>8040</v>
      </c>
      <c r="E30">
        <v>107</v>
      </c>
      <c r="G30">
        <v>770</v>
      </c>
      <c r="H30">
        <v>3850</v>
      </c>
      <c r="I30" s="12" t="str">
        <f>VLOOKUP(A30,MCompany[],2,FALSE)</f>
        <v>Bere Kleid</v>
      </c>
      <c r="J30" s="12" t="str">
        <f>VLOOKUP(TableTemp[[#This Row],[Customer Code]],MCustomer[],2,FALSE)</f>
        <v>Werner Strauss</v>
      </c>
      <c r="K30" s="12" t="str">
        <f>VLOOKUP(TableTemp[[#This Row],[Article code]],MArticle[],2,FALSE)</f>
        <v>Women basics</v>
      </c>
      <c r="L30" s="12" t="str">
        <f>VLOOKUP(TableTemp[[#This Row],[Company]],MCompany[],3,FALSE)</f>
        <v>EUR</v>
      </c>
      <c r="M30" s="18">
        <f>IF(TableTemp[[#This Row],[Currency]]="EUR",ROUND(VLOOKUP(MONTH(TableTemp[[#This Row],[Document Date]]),MExchange[],2,FALSE)*TableTemp[[#This Row],[Sales Local Currency]],2),ROUND(TableTemp[[#This Row],[Sales Local Currency]],2))</f>
        <v>4523.5200000000004</v>
      </c>
      <c r="Q30" s="33"/>
      <c r="V30" s="26"/>
      <c r="AG30" s="33"/>
      <c r="AK30" s="22" t="s">
        <v>20</v>
      </c>
      <c r="AL30" s="30">
        <v>5357.72</v>
      </c>
      <c r="AM30" s="30">
        <v>760</v>
      </c>
    </row>
    <row r="31" spans="1:39" x14ac:dyDescent="0.2">
      <c r="A31" s="8" t="s">
        <v>31</v>
      </c>
      <c r="B31">
        <v>88544</v>
      </c>
      <c r="C31" s="9">
        <v>43395</v>
      </c>
      <c r="D31">
        <v>8040</v>
      </c>
      <c r="E31">
        <v>120</v>
      </c>
      <c r="G31">
        <v>300</v>
      </c>
      <c r="H31">
        <v>17400</v>
      </c>
      <c r="I31" s="12" t="str">
        <f>VLOOKUP(A31,MCompany[],2,FALSE)</f>
        <v>Bere Kleid</v>
      </c>
      <c r="J31" s="12" t="str">
        <f>VLOOKUP(TableTemp[[#This Row],[Customer Code]],MCustomer[],2,FALSE)</f>
        <v>Werner Strauss</v>
      </c>
      <c r="K31" s="12" t="str">
        <f>VLOOKUP(TableTemp[[#This Row],[Article code]],MArticle[],2,FALSE)</f>
        <v>Women evening dress Cocktail red</v>
      </c>
      <c r="L31" s="12" t="str">
        <f>VLOOKUP(TableTemp[[#This Row],[Company]],MCompany[],3,FALSE)</f>
        <v>EUR</v>
      </c>
      <c r="M31" s="18">
        <f>IF(TableTemp[[#This Row],[Currency]]="EUR",ROUND(VLOOKUP(MONTH(TableTemp[[#This Row],[Document Date]]),MExchange[],2,FALSE)*TableTemp[[#This Row],[Sales Local Currency]],2),ROUND(TableTemp[[#This Row],[Sales Local Currency]],2))</f>
        <v>20443.939999999999</v>
      </c>
      <c r="Q31" s="33"/>
      <c r="V31" s="26"/>
      <c r="AG31" s="33"/>
      <c r="AK31" s="22" t="s">
        <v>9</v>
      </c>
      <c r="AL31" s="30">
        <v>1550.92</v>
      </c>
      <c r="AM31" s="30">
        <v>110</v>
      </c>
    </row>
    <row r="32" spans="1:39" x14ac:dyDescent="0.2">
      <c r="A32" s="8" t="s">
        <v>31</v>
      </c>
      <c r="B32">
        <v>88666</v>
      </c>
      <c r="C32" s="9">
        <v>43399</v>
      </c>
      <c r="D32">
        <v>8030</v>
      </c>
      <c r="E32">
        <v>119</v>
      </c>
      <c r="G32">
        <v>330</v>
      </c>
      <c r="H32">
        <v>20460</v>
      </c>
      <c r="I32" s="12" t="str">
        <f>VLOOKUP(A32,MCompany[],2,FALSE)</f>
        <v>Bere Kleid</v>
      </c>
      <c r="J32" s="12" t="str">
        <f>VLOOKUP(TableTemp[[#This Row],[Customer Code]],MCustomer[],2,FALSE)</f>
        <v>Edson</v>
      </c>
      <c r="K32" s="12" t="str">
        <f>VLOOKUP(TableTemp[[#This Row],[Article code]],MArticle[],2,FALSE)</f>
        <v>Women evening dress long black</v>
      </c>
      <c r="L32" s="12" t="str">
        <f>VLOOKUP(TableTemp[[#This Row],[Company]],MCompany[],3,FALSE)</f>
        <v>EUR</v>
      </c>
      <c r="M32" s="18">
        <f>IF(TableTemp[[#This Row],[Currency]]="EUR",ROUND(VLOOKUP(MONTH(TableTemp[[#This Row],[Document Date]]),MExchange[],2,FALSE)*TableTemp[[#This Row],[Sales Local Currency]],2),ROUND(TableTemp[[#This Row],[Sales Local Currency]],2))</f>
        <v>24039.25</v>
      </c>
      <c r="Q32" s="33"/>
      <c r="V32" s="26"/>
      <c r="AG32" s="33"/>
      <c r="AK32" s="22" t="s">
        <v>5</v>
      </c>
      <c r="AL32" s="30">
        <v>1527.42</v>
      </c>
      <c r="AM32" s="30">
        <v>130</v>
      </c>
    </row>
    <row r="33" spans="1:39" x14ac:dyDescent="0.2">
      <c r="A33" s="8" t="s">
        <v>31</v>
      </c>
      <c r="B33">
        <v>88666</v>
      </c>
      <c r="C33" s="9">
        <v>43399</v>
      </c>
      <c r="D33">
        <v>8030</v>
      </c>
      <c r="E33">
        <v>107</v>
      </c>
      <c r="G33">
        <v>460</v>
      </c>
      <c r="H33">
        <v>2300</v>
      </c>
      <c r="I33" s="12" t="str">
        <f>VLOOKUP(A33,MCompany[],2,FALSE)</f>
        <v>Bere Kleid</v>
      </c>
      <c r="J33" s="12" t="str">
        <f>VLOOKUP(TableTemp[[#This Row],[Customer Code]],MCustomer[],2,FALSE)</f>
        <v>Edson</v>
      </c>
      <c r="K33" s="12" t="str">
        <f>VLOOKUP(TableTemp[[#This Row],[Article code]],MArticle[],2,FALSE)</f>
        <v>Women basics</v>
      </c>
      <c r="L33" s="12" t="str">
        <f>VLOOKUP(TableTemp[[#This Row],[Company]],MCompany[],3,FALSE)</f>
        <v>EUR</v>
      </c>
      <c r="M33" s="18">
        <f>IF(TableTemp[[#This Row],[Currency]]="EUR",ROUND(VLOOKUP(MONTH(TableTemp[[#This Row],[Document Date]]),MExchange[],2,FALSE)*TableTemp[[#This Row],[Sales Local Currency]],2),ROUND(TableTemp[[#This Row],[Sales Local Currency]],2))</f>
        <v>2702.36</v>
      </c>
      <c r="Q33" s="33"/>
      <c r="V33" s="26"/>
      <c r="AG33" s="33"/>
      <c r="AK33" s="21" t="s">
        <v>83</v>
      </c>
      <c r="AL33" s="30">
        <v>378530.10999999993</v>
      </c>
      <c r="AM33" s="30">
        <v>9660</v>
      </c>
    </row>
    <row r="34" spans="1:39" x14ac:dyDescent="0.2">
      <c r="A34" s="8" t="s">
        <v>31</v>
      </c>
      <c r="B34">
        <v>88666</v>
      </c>
      <c r="C34" s="9">
        <v>43399</v>
      </c>
      <c r="D34">
        <v>8030</v>
      </c>
      <c r="E34">
        <v>105</v>
      </c>
      <c r="F34">
        <v>1</v>
      </c>
      <c r="G34">
        <v>470</v>
      </c>
      <c r="H34">
        <v>4700</v>
      </c>
      <c r="I34" s="12" t="str">
        <f>VLOOKUP(A34,MCompany[],2,FALSE)</f>
        <v>Bere Kleid</v>
      </c>
      <c r="J34" s="12" t="str">
        <f>VLOOKUP(TableTemp[[#This Row],[Customer Code]],MCustomer[],2,FALSE)</f>
        <v>Edson</v>
      </c>
      <c r="K34" s="12" t="str">
        <f>VLOOKUP(TableTemp[[#This Row],[Article code]],MArticle[],2,FALSE)</f>
        <v>Women crop top black</v>
      </c>
      <c r="L34" s="12" t="str">
        <f>VLOOKUP(TableTemp[[#This Row],[Company]],MCompany[],3,FALSE)</f>
        <v>EUR</v>
      </c>
      <c r="M34" s="18">
        <f>IF(TableTemp[[#This Row],[Currency]]="EUR",ROUND(VLOOKUP(MONTH(TableTemp[[#This Row],[Document Date]]),MExchange[],2,FALSE)*TableTemp[[#This Row],[Sales Local Currency]],2),ROUND(TableTemp[[#This Row],[Sales Local Currency]],2))</f>
        <v>5522.21</v>
      </c>
      <c r="Q34" s="33"/>
      <c r="V34" s="26"/>
      <c r="AG34" s="33"/>
      <c r="AK34" s="20" t="s">
        <v>84</v>
      </c>
      <c r="AL34" s="30">
        <v>544079.02</v>
      </c>
      <c r="AM34" s="30">
        <v>16740</v>
      </c>
    </row>
    <row r="35" spans="1:39" x14ac:dyDescent="0.2">
      <c r="A35" s="8" t="s">
        <v>31</v>
      </c>
      <c r="B35">
        <v>88666</v>
      </c>
      <c r="C35" s="9">
        <v>43399</v>
      </c>
      <c r="D35">
        <v>8030</v>
      </c>
      <c r="E35">
        <v>115</v>
      </c>
      <c r="G35">
        <v>390</v>
      </c>
      <c r="H35">
        <v>2340</v>
      </c>
      <c r="I35" s="12" t="str">
        <f>VLOOKUP(A35,MCompany[],2,FALSE)</f>
        <v>Bere Kleid</v>
      </c>
      <c r="J35" s="12" t="str">
        <f>VLOOKUP(TableTemp[[#This Row],[Customer Code]],MCustomer[],2,FALSE)</f>
        <v>Edson</v>
      </c>
      <c r="K35" s="12" t="str">
        <f>VLOOKUP(TableTemp[[#This Row],[Article code]],MArticle[],2,FALSE)</f>
        <v>Unisex tank top black</v>
      </c>
      <c r="L35" s="12" t="str">
        <f>VLOOKUP(TableTemp[[#This Row],[Company]],MCompany[],3,FALSE)</f>
        <v>EUR</v>
      </c>
      <c r="M35" s="18">
        <f>IF(TableTemp[[#This Row],[Currency]]="EUR",ROUND(VLOOKUP(MONTH(TableTemp[[#This Row],[Document Date]]),MExchange[],2,FALSE)*TableTemp[[#This Row],[Sales Local Currency]],2),ROUND(TableTemp[[#This Row],[Sales Local Currency]],2))</f>
        <v>2749.36</v>
      </c>
      <c r="Q35" s="33"/>
      <c r="V35" s="26"/>
      <c r="AG35" s="33"/>
      <c r="AK35" s="20" t="s">
        <v>34</v>
      </c>
      <c r="AL35" s="30"/>
      <c r="AM35" s="30"/>
    </row>
    <row r="36" spans="1:39" x14ac:dyDescent="0.2">
      <c r="A36" s="8" t="s">
        <v>31</v>
      </c>
      <c r="B36">
        <v>88666</v>
      </c>
      <c r="C36" s="9">
        <v>43399</v>
      </c>
      <c r="D36">
        <v>8030</v>
      </c>
      <c r="E36">
        <v>116</v>
      </c>
      <c r="G36">
        <v>260</v>
      </c>
      <c r="H36">
        <v>1560</v>
      </c>
      <c r="I36" s="12" t="str">
        <f>VLOOKUP(A36,MCompany[],2,FALSE)</f>
        <v>Bere Kleid</v>
      </c>
      <c r="J36" s="12" t="str">
        <f>VLOOKUP(TableTemp[[#This Row],[Customer Code]],MCustomer[],2,FALSE)</f>
        <v>Edson</v>
      </c>
      <c r="K36" s="12" t="str">
        <f>VLOOKUP(TableTemp[[#This Row],[Article code]],MArticle[],2,FALSE)</f>
        <v>Unisex tank top white</v>
      </c>
      <c r="L36" s="12" t="str">
        <f>VLOOKUP(TableTemp[[#This Row],[Company]],MCompany[],3,FALSE)</f>
        <v>EUR</v>
      </c>
      <c r="M36" s="18">
        <f>IF(TableTemp[[#This Row],[Currency]]="EUR",ROUND(VLOOKUP(MONTH(TableTemp[[#This Row],[Document Date]]),MExchange[],2,FALSE)*TableTemp[[#This Row],[Sales Local Currency]],2),ROUND(TableTemp[[#This Row],[Sales Local Currency]],2))</f>
        <v>1832.9</v>
      </c>
      <c r="Q36" s="33"/>
      <c r="V36" s="26"/>
      <c r="AG36" s="33"/>
      <c r="AK36" s="21" t="s">
        <v>80</v>
      </c>
      <c r="AL36" s="30"/>
      <c r="AM36" s="30"/>
    </row>
    <row r="37" spans="1:39" x14ac:dyDescent="0.2">
      <c r="A37" s="8" t="s">
        <v>32</v>
      </c>
      <c r="B37">
        <v>44030</v>
      </c>
      <c r="C37" s="9">
        <v>43377</v>
      </c>
      <c r="D37">
        <v>8060</v>
      </c>
      <c r="E37">
        <v>108</v>
      </c>
      <c r="F37" t="s">
        <v>2</v>
      </c>
      <c r="G37">
        <v>60</v>
      </c>
      <c r="H37">
        <v>1680</v>
      </c>
      <c r="I37" s="12" t="str">
        <f>VLOOKUP(A37,MCompany[],2,FALSE)</f>
        <v>Lucas Basics</v>
      </c>
      <c r="J37" s="12" t="str">
        <f>VLOOKUP(TableTemp[[#This Row],[Customer Code]],MCustomer[],2,FALSE)</f>
        <v>Liebher</v>
      </c>
      <c r="K37" s="12" t="str">
        <f>VLOOKUP(TableTemp[[#This Row],[Article code]],MArticle[],2,FALSE)</f>
        <v>Laptop bag black</v>
      </c>
      <c r="L37" s="12" t="str">
        <f>VLOOKUP(TableTemp[[#This Row],[Company]],MCompany[],3,FALSE)</f>
        <v>EUR</v>
      </c>
      <c r="M37" s="18">
        <f>IF(TableTemp[[#This Row],[Currency]]="EUR",ROUND(VLOOKUP(MONTH(TableTemp[[#This Row],[Document Date]]),MExchange[],2,FALSE)*TableTemp[[#This Row],[Sales Local Currency]],2),ROUND(TableTemp[[#This Row],[Sales Local Currency]],2))</f>
        <v>1973.9</v>
      </c>
      <c r="Q37" s="33"/>
      <c r="V37" s="26"/>
      <c r="AG37" s="33"/>
      <c r="AK37" s="22" t="s">
        <v>14</v>
      </c>
      <c r="AL37" s="30">
        <v>16214.16</v>
      </c>
      <c r="AM37" s="30">
        <v>230</v>
      </c>
    </row>
    <row r="38" spans="1:39" x14ac:dyDescent="0.2">
      <c r="A38" s="8" t="s">
        <v>32</v>
      </c>
      <c r="B38">
        <v>44030</v>
      </c>
      <c r="C38" s="9">
        <v>43377</v>
      </c>
      <c r="D38">
        <v>8060</v>
      </c>
      <c r="E38">
        <v>109</v>
      </c>
      <c r="F38">
        <v>1</v>
      </c>
      <c r="G38">
        <v>60</v>
      </c>
      <c r="H38">
        <v>1680</v>
      </c>
      <c r="I38" s="12" t="str">
        <f>VLOOKUP(A38,MCompany[],2,FALSE)</f>
        <v>Lucas Basics</v>
      </c>
      <c r="J38" s="12" t="str">
        <f>VLOOKUP(TableTemp[[#This Row],[Customer Code]],MCustomer[],2,FALSE)</f>
        <v>Liebher</v>
      </c>
      <c r="K38" s="12" t="str">
        <f>VLOOKUP(TableTemp[[#This Row],[Article code]],MArticle[],2,FALSE)</f>
        <v>Laptop bag red</v>
      </c>
      <c r="L38" s="12" t="str">
        <f>VLOOKUP(TableTemp[[#This Row],[Company]],MCompany[],3,FALSE)</f>
        <v>EUR</v>
      </c>
      <c r="M38" s="18">
        <f>IF(TableTemp[[#This Row],[Currency]]="EUR",ROUND(VLOOKUP(MONTH(TableTemp[[#This Row],[Document Date]]),MExchange[],2,FALSE)*TableTemp[[#This Row],[Sales Local Currency]],2),ROUND(TableTemp[[#This Row],[Sales Local Currency]],2))</f>
        <v>1973.9</v>
      </c>
      <c r="V38" s="26"/>
      <c r="AG38" s="33"/>
      <c r="AK38" s="22" t="s">
        <v>12</v>
      </c>
      <c r="AL38" s="30">
        <v>11843.38</v>
      </c>
      <c r="AM38" s="30">
        <v>360</v>
      </c>
    </row>
    <row r="39" spans="1:39" x14ac:dyDescent="0.2">
      <c r="A39" s="8" t="s">
        <v>32</v>
      </c>
      <c r="B39">
        <v>44032</v>
      </c>
      <c r="C39" s="9">
        <v>43380</v>
      </c>
      <c r="D39">
        <v>8060</v>
      </c>
      <c r="E39">
        <v>108</v>
      </c>
      <c r="F39" t="s">
        <v>2</v>
      </c>
      <c r="G39">
        <v>60</v>
      </c>
      <c r="H39">
        <v>1680</v>
      </c>
      <c r="I39" s="12" t="str">
        <f>VLOOKUP(A39,MCompany[],2,FALSE)</f>
        <v>Lucas Basics</v>
      </c>
      <c r="J39" s="12" t="str">
        <f>VLOOKUP(TableTemp[[#This Row],[Customer Code]],MCustomer[],2,FALSE)</f>
        <v>Liebher</v>
      </c>
      <c r="K39" s="12" t="str">
        <f>VLOOKUP(TableTemp[[#This Row],[Article code]],MArticle[],2,FALSE)</f>
        <v>Laptop bag black</v>
      </c>
      <c r="L39" s="12" t="str">
        <f>VLOOKUP(TableTemp[[#This Row],[Company]],MCompany[],3,FALSE)</f>
        <v>EUR</v>
      </c>
      <c r="M39" s="18">
        <f>IF(TableTemp[[#This Row],[Currency]]="EUR",ROUND(VLOOKUP(MONTH(TableTemp[[#This Row],[Document Date]]),MExchange[],2,FALSE)*TableTemp[[#This Row],[Sales Local Currency]],2),ROUND(TableTemp[[#This Row],[Sales Local Currency]],2))</f>
        <v>1973.9</v>
      </c>
      <c r="AK39" s="22" t="s">
        <v>13</v>
      </c>
      <c r="AL39" s="30">
        <v>11514.41</v>
      </c>
      <c r="AM39" s="30">
        <v>350</v>
      </c>
    </row>
    <row r="40" spans="1:39" x14ac:dyDescent="0.2">
      <c r="A40" s="8" t="s">
        <v>32</v>
      </c>
      <c r="B40">
        <v>44032</v>
      </c>
      <c r="C40" s="9">
        <v>43380</v>
      </c>
      <c r="D40">
        <v>8060</v>
      </c>
      <c r="E40">
        <v>109</v>
      </c>
      <c r="G40">
        <v>70</v>
      </c>
      <c r="H40">
        <v>1960</v>
      </c>
      <c r="I40" s="12" t="str">
        <f>VLOOKUP(A40,MCompany[],2,FALSE)</f>
        <v>Lucas Basics</v>
      </c>
      <c r="J40" s="12" t="str">
        <f>VLOOKUP(TableTemp[[#This Row],[Customer Code]],MCustomer[],2,FALSE)</f>
        <v>Liebher</v>
      </c>
      <c r="K40" s="12" t="str">
        <f>VLOOKUP(TableTemp[[#This Row],[Article code]],MArticle[],2,FALSE)</f>
        <v>Laptop bag red</v>
      </c>
      <c r="L40" s="12" t="str">
        <f>VLOOKUP(TableTemp[[#This Row],[Company]],MCompany[],3,FALSE)</f>
        <v>EUR</v>
      </c>
      <c r="M40" s="18">
        <f>IF(TableTemp[[#This Row],[Currency]]="EUR",ROUND(VLOOKUP(MONTH(TableTemp[[#This Row],[Document Date]]),MExchange[],2,FALSE)*TableTemp[[#This Row],[Sales Local Currency]],2),ROUND(TableTemp[[#This Row],[Sales Local Currency]],2))</f>
        <v>2302.88</v>
      </c>
      <c r="AK40" s="22" t="s">
        <v>15</v>
      </c>
      <c r="AL40" s="30">
        <v>6579.6600000000008</v>
      </c>
      <c r="AM40" s="30">
        <v>280</v>
      </c>
    </row>
    <row r="41" spans="1:39" x14ac:dyDescent="0.2">
      <c r="A41" s="8" t="s">
        <v>32</v>
      </c>
      <c r="B41">
        <v>44031</v>
      </c>
      <c r="C41" s="9">
        <v>43381</v>
      </c>
      <c r="D41">
        <v>8050</v>
      </c>
      <c r="E41">
        <v>108</v>
      </c>
      <c r="F41" t="s">
        <v>2</v>
      </c>
      <c r="G41">
        <v>60</v>
      </c>
      <c r="H41">
        <v>1680</v>
      </c>
      <c r="I41" s="12" t="str">
        <f>VLOOKUP(A41,MCompany[],2,FALSE)</f>
        <v>Lucas Basics</v>
      </c>
      <c r="J41" s="12" t="str">
        <f>VLOOKUP(TableTemp[[#This Row],[Customer Code]],MCustomer[],2,FALSE)</f>
        <v>Aida GmbH</v>
      </c>
      <c r="K41" s="12" t="str">
        <f>VLOOKUP(TableTemp[[#This Row],[Article code]],MArticle[],2,FALSE)</f>
        <v>Laptop bag black</v>
      </c>
      <c r="L41" s="12" t="str">
        <f>VLOOKUP(TableTemp[[#This Row],[Company]],MCompany[],3,FALSE)</f>
        <v>EUR</v>
      </c>
      <c r="M41" s="18">
        <f>IF(TableTemp[[#This Row],[Currency]]="EUR",ROUND(VLOOKUP(MONTH(TableTemp[[#This Row],[Document Date]]),MExchange[],2,FALSE)*TableTemp[[#This Row],[Sales Local Currency]],2),ROUND(TableTemp[[#This Row],[Sales Local Currency]],2))</f>
        <v>1973.9</v>
      </c>
      <c r="AK41" s="21" t="s">
        <v>82</v>
      </c>
      <c r="AL41" s="30">
        <v>46151.61</v>
      </c>
      <c r="AM41" s="30">
        <v>1220</v>
      </c>
    </row>
    <row r="42" spans="1:39" x14ac:dyDescent="0.2">
      <c r="A42" s="8" t="s">
        <v>32</v>
      </c>
      <c r="B42">
        <v>44031</v>
      </c>
      <c r="C42" s="9">
        <v>43381</v>
      </c>
      <c r="D42">
        <v>8050</v>
      </c>
      <c r="E42">
        <v>109</v>
      </c>
      <c r="F42" t="s">
        <v>2</v>
      </c>
      <c r="G42">
        <v>50</v>
      </c>
      <c r="H42">
        <v>1400</v>
      </c>
      <c r="I42" s="12" t="str">
        <f>VLOOKUP(A42,MCompany[],2,FALSE)</f>
        <v>Lucas Basics</v>
      </c>
      <c r="J42" s="12" t="str">
        <f>VLOOKUP(TableTemp[[#This Row],[Customer Code]],MCustomer[],2,FALSE)</f>
        <v>Aida GmbH</v>
      </c>
      <c r="K42" s="12" t="str">
        <f>VLOOKUP(TableTemp[[#This Row],[Article code]],MArticle[],2,FALSE)</f>
        <v>Laptop bag red</v>
      </c>
      <c r="L42" s="12" t="str">
        <f>VLOOKUP(TableTemp[[#This Row],[Company]],MCompany[],3,FALSE)</f>
        <v>EUR</v>
      </c>
      <c r="M42" s="18">
        <f>IF(TableTemp[[#This Row],[Currency]]="EUR",ROUND(VLOOKUP(MONTH(TableTemp[[#This Row],[Document Date]]),MExchange[],2,FALSE)*TableTemp[[#This Row],[Sales Local Currency]],2),ROUND(TableTemp[[#This Row],[Sales Local Currency]],2))</f>
        <v>1644.91</v>
      </c>
      <c r="AK42" s="21" t="s">
        <v>81</v>
      </c>
      <c r="AL42" s="30"/>
      <c r="AM42" s="30"/>
    </row>
    <row r="43" spans="1:39" x14ac:dyDescent="0.2">
      <c r="A43" s="8" t="s">
        <v>32</v>
      </c>
      <c r="B43">
        <v>44031</v>
      </c>
      <c r="C43" s="9">
        <v>43381</v>
      </c>
      <c r="D43">
        <v>8050</v>
      </c>
      <c r="E43">
        <v>110</v>
      </c>
      <c r="F43" t="s">
        <v>2</v>
      </c>
      <c r="G43">
        <v>60</v>
      </c>
      <c r="H43">
        <v>3600</v>
      </c>
      <c r="I43" s="12" t="str">
        <f>VLOOKUP(A43,MCompany[],2,FALSE)</f>
        <v>Lucas Basics</v>
      </c>
      <c r="J43" s="12" t="str">
        <f>VLOOKUP(TableTemp[[#This Row],[Customer Code]],MCustomer[],2,FALSE)</f>
        <v>Aida GmbH</v>
      </c>
      <c r="K43" s="12" t="str">
        <f>VLOOKUP(TableTemp[[#This Row],[Article code]],MArticle[],2,FALSE)</f>
        <v>Smartphone case diamond</v>
      </c>
      <c r="L43" s="12" t="str">
        <f>VLOOKUP(TableTemp[[#This Row],[Company]],MCompany[],3,FALSE)</f>
        <v>EUR</v>
      </c>
      <c r="M43" s="18">
        <f>IF(TableTemp[[#This Row],[Currency]]="EUR",ROUND(VLOOKUP(MONTH(TableTemp[[#This Row],[Document Date]]),MExchange[],2,FALSE)*TableTemp[[#This Row],[Sales Local Currency]],2),ROUND(TableTemp[[#This Row],[Sales Local Currency]],2))</f>
        <v>4229.78</v>
      </c>
      <c r="AK43" s="22" t="s">
        <v>14</v>
      </c>
      <c r="AL43" s="30">
        <v>23968.760000000002</v>
      </c>
      <c r="AM43" s="30">
        <v>340</v>
      </c>
    </row>
    <row r="44" spans="1:39" x14ac:dyDescent="0.2">
      <c r="A44" s="8" t="s">
        <v>32</v>
      </c>
      <c r="B44">
        <v>48112</v>
      </c>
      <c r="C44" s="9">
        <v>43384</v>
      </c>
      <c r="D44">
        <v>8060</v>
      </c>
      <c r="E44">
        <v>109</v>
      </c>
      <c r="G44">
        <v>60</v>
      </c>
      <c r="H44">
        <v>1680</v>
      </c>
      <c r="I44" s="12" t="str">
        <f>VLOOKUP(A44,MCompany[],2,FALSE)</f>
        <v>Lucas Basics</v>
      </c>
      <c r="J44" s="12" t="str">
        <f>VLOOKUP(TableTemp[[#This Row],[Customer Code]],MCustomer[],2,FALSE)</f>
        <v>Liebher</v>
      </c>
      <c r="K44" s="12" t="str">
        <f>VLOOKUP(TableTemp[[#This Row],[Article code]],MArticle[],2,FALSE)</f>
        <v>Laptop bag red</v>
      </c>
      <c r="L44" s="12" t="str">
        <f>VLOOKUP(TableTemp[[#This Row],[Company]],MCompany[],3,FALSE)</f>
        <v>EUR</v>
      </c>
      <c r="M44" s="18">
        <f>IF(TableTemp[[#This Row],[Currency]]="EUR",ROUND(VLOOKUP(MONTH(TableTemp[[#This Row],[Document Date]]),MExchange[],2,FALSE)*TableTemp[[#This Row],[Sales Local Currency]],2),ROUND(TableTemp[[#This Row],[Sales Local Currency]],2))</f>
        <v>1973.9</v>
      </c>
      <c r="AK44" s="22" t="s">
        <v>13</v>
      </c>
      <c r="AL44" s="30">
        <v>21712.880000000005</v>
      </c>
      <c r="AM44" s="30">
        <v>660</v>
      </c>
    </row>
    <row r="45" spans="1:39" x14ac:dyDescent="0.2">
      <c r="A45" s="8" t="s">
        <v>32</v>
      </c>
      <c r="B45">
        <v>48112</v>
      </c>
      <c r="C45" s="9">
        <v>43384</v>
      </c>
      <c r="D45">
        <v>8060</v>
      </c>
      <c r="E45">
        <v>110</v>
      </c>
      <c r="F45" t="s">
        <v>2</v>
      </c>
      <c r="G45">
        <v>50</v>
      </c>
      <c r="H45">
        <v>3000</v>
      </c>
      <c r="I45" s="12" t="str">
        <f>VLOOKUP(A45,MCompany[],2,FALSE)</f>
        <v>Lucas Basics</v>
      </c>
      <c r="J45" s="12" t="str">
        <f>VLOOKUP(TableTemp[[#This Row],[Customer Code]],MCustomer[],2,FALSE)</f>
        <v>Liebher</v>
      </c>
      <c r="K45" s="12" t="str">
        <f>VLOOKUP(TableTemp[[#This Row],[Article code]],MArticle[],2,FALSE)</f>
        <v>Smartphone case diamond</v>
      </c>
      <c r="L45" s="12" t="str">
        <f>VLOOKUP(TableTemp[[#This Row],[Company]],MCompany[],3,FALSE)</f>
        <v>EUR</v>
      </c>
      <c r="M45" s="18">
        <f>IF(TableTemp[[#This Row],[Currency]]="EUR",ROUND(VLOOKUP(MONTH(TableTemp[[#This Row],[Document Date]]),MExchange[],2,FALSE)*TableTemp[[#This Row],[Sales Local Currency]],2),ROUND(TableTemp[[#This Row],[Sales Local Currency]],2))</f>
        <v>3524.82</v>
      </c>
      <c r="AK45" s="22" t="s">
        <v>12</v>
      </c>
      <c r="AL45" s="30">
        <v>12830.34</v>
      </c>
      <c r="AM45" s="30">
        <v>390</v>
      </c>
    </row>
    <row r="46" spans="1:39" x14ac:dyDescent="0.2">
      <c r="A46" s="8" t="s">
        <v>32</v>
      </c>
      <c r="B46">
        <v>48114</v>
      </c>
      <c r="C46" s="9">
        <v>43384</v>
      </c>
      <c r="D46">
        <v>8050</v>
      </c>
      <c r="E46">
        <v>109</v>
      </c>
      <c r="G46">
        <v>60</v>
      </c>
      <c r="H46">
        <v>1680</v>
      </c>
      <c r="I46" s="12" t="str">
        <f>VLOOKUP(A46,MCompany[],2,FALSE)</f>
        <v>Lucas Basics</v>
      </c>
      <c r="J46" s="12" t="str">
        <f>VLOOKUP(TableTemp[[#This Row],[Customer Code]],MCustomer[],2,FALSE)</f>
        <v>Aida GmbH</v>
      </c>
      <c r="K46" s="12" t="str">
        <f>VLOOKUP(TableTemp[[#This Row],[Article code]],MArticle[],2,FALSE)</f>
        <v>Laptop bag red</v>
      </c>
      <c r="L46" s="12" t="str">
        <f>VLOOKUP(TableTemp[[#This Row],[Company]],MCompany[],3,FALSE)</f>
        <v>EUR</v>
      </c>
      <c r="M46" s="18">
        <f>IF(TableTemp[[#This Row],[Currency]]="EUR",ROUND(VLOOKUP(MONTH(TableTemp[[#This Row],[Document Date]]),MExchange[],2,FALSE)*TableTemp[[#This Row],[Sales Local Currency]],2),ROUND(TableTemp[[#This Row],[Sales Local Currency]],2))</f>
        <v>1973.9</v>
      </c>
      <c r="AK46" s="21" t="s">
        <v>100</v>
      </c>
      <c r="AL46" s="30">
        <v>58511.98</v>
      </c>
      <c r="AM46" s="30">
        <v>1390</v>
      </c>
    </row>
    <row r="47" spans="1:39" x14ac:dyDescent="0.2">
      <c r="A47" s="8" t="s">
        <v>32</v>
      </c>
      <c r="B47">
        <v>48114</v>
      </c>
      <c r="C47" s="9">
        <v>43384</v>
      </c>
      <c r="D47">
        <v>8050</v>
      </c>
      <c r="E47">
        <v>110</v>
      </c>
      <c r="G47">
        <v>60</v>
      </c>
      <c r="H47">
        <v>3600</v>
      </c>
      <c r="I47" s="12" t="str">
        <f>VLOOKUP(A47,MCompany[],2,FALSE)</f>
        <v>Lucas Basics</v>
      </c>
      <c r="J47" s="12" t="str">
        <f>VLOOKUP(TableTemp[[#This Row],[Customer Code]],MCustomer[],2,FALSE)</f>
        <v>Aida GmbH</v>
      </c>
      <c r="K47" s="12" t="str">
        <f>VLOOKUP(TableTemp[[#This Row],[Article code]],MArticle[],2,FALSE)</f>
        <v>Smartphone case diamond</v>
      </c>
      <c r="L47" s="12" t="str">
        <f>VLOOKUP(TableTemp[[#This Row],[Company]],MCompany[],3,FALSE)</f>
        <v>EUR</v>
      </c>
      <c r="M47" s="18">
        <f>IF(TableTemp[[#This Row],[Currency]]="EUR",ROUND(VLOOKUP(MONTH(TableTemp[[#This Row],[Document Date]]),MExchange[],2,FALSE)*TableTemp[[#This Row],[Sales Local Currency]],2),ROUND(TableTemp[[#This Row],[Sales Local Currency]],2))</f>
        <v>4229.78</v>
      </c>
      <c r="AK47" s="20" t="s">
        <v>101</v>
      </c>
      <c r="AL47" s="30">
        <v>104663.59</v>
      </c>
      <c r="AM47" s="30">
        <v>2610</v>
      </c>
    </row>
    <row r="48" spans="1:39" x14ac:dyDescent="0.2">
      <c r="A48" s="8" t="s">
        <v>32</v>
      </c>
      <c r="B48">
        <v>48114</v>
      </c>
      <c r="C48" s="9">
        <v>43384</v>
      </c>
      <c r="D48">
        <v>8050</v>
      </c>
      <c r="E48">
        <v>111</v>
      </c>
      <c r="G48">
        <v>80</v>
      </c>
      <c r="H48">
        <v>1600</v>
      </c>
      <c r="I48" s="12" t="str">
        <f>VLOOKUP(A48,MCompany[],2,FALSE)</f>
        <v>Lucas Basics</v>
      </c>
      <c r="J48" s="12" t="str">
        <f>VLOOKUP(TableTemp[[#This Row],[Customer Code]],MCustomer[],2,FALSE)</f>
        <v>Aida GmbH</v>
      </c>
      <c r="K48" s="12" t="str">
        <f>VLOOKUP(TableTemp[[#This Row],[Article code]],MArticle[],2,FALSE)</f>
        <v>Smartphone case simple</v>
      </c>
      <c r="L48" s="12" t="str">
        <f>VLOOKUP(TableTemp[[#This Row],[Company]],MCompany[],3,FALSE)</f>
        <v>EUR</v>
      </c>
      <c r="M48" s="18">
        <f>IF(TableTemp[[#This Row],[Currency]]="EUR",ROUND(VLOOKUP(MONTH(TableTemp[[#This Row],[Document Date]]),MExchange[],2,FALSE)*TableTemp[[#This Row],[Sales Local Currency]],2),ROUND(TableTemp[[#This Row],[Sales Local Currency]],2))</f>
        <v>1879.9</v>
      </c>
      <c r="AK48" s="20" t="s">
        <v>65</v>
      </c>
      <c r="AL48" s="30">
        <v>648742.6100000001</v>
      </c>
      <c r="AM48" s="30">
        <v>19350</v>
      </c>
    </row>
    <row r="49" spans="1:13" x14ac:dyDescent="0.2">
      <c r="A49" s="8" t="s">
        <v>32</v>
      </c>
      <c r="B49">
        <v>48116</v>
      </c>
      <c r="C49" s="9">
        <v>43384</v>
      </c>
      <c r="D49">
        <v>8060</v>
      </c>
      <c r="E49">
        <v>109</v>
      </c>
      <c r="G49">
        <v>60</v>
      </c>
      <c r="H49">
        <v>1680</v>
      </c>
      <c r="I49" s="12" t="str">
        <f>VLOOKUP(A49,MCompany[],2,FALSE)</f>
        <v>Lucas Basics</v>
      </c>
      <c r="J49" s="12" t="str">
        <f>VLOOKUP(TableTemp[[#This Row],[Customer Code]],MCustomer[],2,FALSE)</f>
        <v>Liebher</v>
      </c>
      <c r="K49" s="12" t="str">
        <f>VLOOKUP(TableTemp[[#This Row],[Article code]],MArticle[],2,FALSE)</f>
        <v>Laptop bag red</v>
      </c>
      <c r="L49" s="12" t="str">
        <f>VLOOKUP(TableTemp[[#This Row],[Company]],MCompany[],3,FALSE)</f>
        <v>EUR</v>
      </c>
      <c r="M49" s="18">
        <f>IF(TableTemp[[#This Row],[Currency]]="EUR",ROUND(VLOOKUP(MONTH(TableTemp[[#This Row],[Document Date]]),MExchange[],2,FALSE)*TableTemp[[#This Row],[Sales Local Currency]],2),ROUND(TableTemp[[#This Row],[Sales Local Currency]],2))</f>
        <v>1973.9</v>
      </c>
    </row>
    <row r="50" spans="1:13" x14ac:dyDescent="0.2">
      <c r="A50" s="8" t="s">
        <v>32</v>
      </c>
      <c r="B50">
        <v>48116</v>
      </c>
      <c r="C50" s="9">
        <v>43384</v>
      </c>
      <c r="D50">
        <v>8060</v>
      </c>
      <c r="E50">
        <v>110</v>
      </c>
      <c r="G50">
        <v>60</v>
      </c>
      <c r="H50">
        <v>3600</v>
      </c>
      <c r="I50" s="12" t="str">
        <f>VLOOKUP(A50,MCompany[],2,FALSE)</f>
        <v>Lucas Basics</v>
      </c>
      <c r="J50" s="12" t="str">
        <f>VLOOKUP(TableTemp[[#This Row],[Customer Code]],MCustomer[],2,FALSE)</f>
        <v>Liebher</v>
      </c>
      <c r="K50" s="12" t="str">
        <f>VLOOKUP(TableTemp[[#This Row],[Article code]],MArticle[],2,FALSE)</f>
        <v>Smartphone case diamond</v>
      </c>
      <c r="L50" s="12" t="str">
        <f>VLOOKUP(TableTemp[[#This Row],[Company]],MCompany[],3,FALSE)</f>
        <v>EUR</v>
      </c>
      <c r="M50" s="18">
        <f>IF(TableTemp[[#This Row],[Currency]]="EUR",ROUND(VLOOKUP(MONTH(TableTemp[[#This Row],[Document Date]]),MExchange[],2,FALSE)*TableTemp[[#This Row],[Sales Local Currency]],2),ROUND(TableTemp[[#This Row],[Sales Local Currency]],2))</f>
        <v>4229.78</v>
      </c>
    </row>
    <row r="51" spans="1:13" x14ac:dyDescent="0.2">
      <c r="A51" s="8" t="s">
        <v>32</v>
      </c>
      <c r="B51">
        <v>45442</v>
      </c>
      <c r="C51" s="9">
        <v>43388</v>
      </c>
      <c r="D51">
        <v>8050</v>
      </c>
      <c r="E51">
        <v>108</v>
      </c>
      <c r="G51">
        <v>50</v>
      </c>
      <c r="H51">
        <v>1400</v>
      </c>
      <c r="I51" s="12" t="str">
        <f>VLOOKUP(A51,MCompany[],2,FALSE)</f>
        <v>Lucas Basics</v>
      </c>
      <c r="J51" s="12" t="str">
        <f>VLOOKUP(TableTemp[[#This Row],[Customer Code]],MCustomer[],2,FALSE)</f>
        <v>Aida GmbH</v>
      </c>
      <c r="K51" s="12" t="str">
        <f>VLOOKUP(TableTemp[[#This Row],[Article code]],MArticle[],2,FALSE)</f>
        <v>Laptop bag black</v>
      </c>
      <c r="L51" s="12" t="str">
        <f>VLOOKUP(TableTemp[[#This Row],[Company]],MCompany[],3,FALSE)</f>
        <v>EUR</v>
      </c>
      <c r="M51" s="18">
        <f>IF(TableTemp[[#This Row],[Currency]]="EUR",ROUND(VLOOKUP(MONTH(TableTemp[[#This Row],[Document Date]]),MExchange[],2,FALSE)*TableTemp[[#This Row],[Sales Local Currency]],2),ROUND(TableTemp[[#This Row],[Sales Local Currency]],2))</f>
        <v>1644.91</v>
      </c>
    </row>
    <row r="52" spans="1:13" x14ac:dyDescent="0.2">
      <c r="A52" s="8" t="s">
        <v>32</v>
      </c>
      <c r="B52">
        <v>45442</v>
      </c>
      <c r="C52" s="9">
        <v>43388</v>
      </c>
      <c r="D52">
        <v>8050</v>
      </c>
      <c r="E52">
        <v>109</v>
      </c>
      <c r="F52">
        <v>1</v>
      </c>
      <c r="G52">
        <v>60</v>
      </c>
      <c r="H52">
        <v>1680</v>
      </c>
      <c r="I52" s="12" t="str">
        <f>VLOOKUP(A52,MCompany[],2,FALSE)</f>
        <v>Lucas Basics</v>
      </c>
      <c r="J52" s="12" t="str">
        <f>VLOOKUP(TableTemp[[#This Row],[Customer Code]],MCustomer[],2,FALSE)</f>
        <v>Aida GmbH</v>
      </c>
      <c r="K52" s="12" t="str">
        <f>VLOOKUP(TableTemp[[#This Row],[Article code]],MArticle[],2,FALSE)</f>
        <v>Laptop bag red</v>
      </c>
      <c r="L52" s="12" t="str">
        <f>VLOOKUP(TableTemp[[#This Row],[Company]],MCompany[],3,FALSE)</f>
        <v>EUR</v>
      </c>
      <c r="M52" s="18">
        <f>IF(TableTemp[[#This Row],[Currency]]="EUR",ROUND(VLOOKUP(MONTH(TableTemp[[#This Row],[Document Date]]),MExchange[],2,FALSE)*TableTemp[[#This Row],[Sales Local Currency]],2),ROUND(TableTemp[[#This Row],[Sales Local Currency]],2))</f>
        <v>1973.9</v>
      </c>
    </row>
    <row r="53" spans="1:13" x14ac:dyDescent="0.2">
      <c r="A53" s="8" t="s">
        <v>32</v>
      </c>
      <c r="B53">
        <v>45444</v>
      </c>
      <c r="C53" s="9">
        <v>43388</v>
      </c>
      <c r="D53">
        <v>8060</v>
      </c>
      <c r="E53">
        <v>108</v>
      </c>
      <c r="G53">
        <v>60</v>
      </c>
      <c r="H53">
        <v>1680</v>
      </c>
      <c r="I53" s="12" t="str">
        <f>VLOOKUP(A53,MCompany[],2,FALSE)</f>
        <v>Lucas Basics</v>
      </c>
      <c r="J53" s="12" t="str">
        <f>VLOOKUP(TableTemp[[#This Row],[Customer Code]],MCustomer[],2,FALSE)</f>
        <v>Liebher</v>
      </c>
      <c r="K53" s="12" t="str">
        <f>VLOOKUP(TableTemp[[#This Row],[Article code]],MArticle[],2,FALSE)</f>
        <v>Laptop bag black</v>
      </c>
      <c r="L53" s="12" t="str">
        <f>VLOOKUP(TableTemp[[#This Row],[Company]],MCompany[],3,FALSE)</f>
        <v>EUR</v>
      </c>
      <c r="M53" s="18">
        <f>IF(TableTemp[[#This Row],[Currency]]="EUR",ROUND(VLOOKUP(MONTH(TableTemp[[#This Row],[Document Date]]),MExchange[],2,FALSE)*TableTemp[[#This Row],[Sales Local Currency]],2),ROUND(TableTemp[[#This Row],[Sales Local Currency]],2))</f>
        <v>1973.9</v>
      </c>
    </row>
    <row r="54" spans="1:13" x14ac:dyDescent="0.2">
      <c r="A54" s="8" t="s">
        <v>32</v>
      </c>
      <c r="B54">
        <v>45444</v>
      </c>
      <c r="C54" s="9">
        <v>43388</v>
      </c>
      <c r="D54">
        <v>8060</v>
      </c>
      <c r="E54">
        <v>109</v>
      </c>
      <c r="G54">
        <v>70</v>
      </c>
      <c r="H54">
        <v>1960</v>
      </c>
      <c r="I54" s="12" t="str">
        <f>VLOOKUP(A54,MCompany[],2,FALSE)</f>
        <v>Lucas Basics</v>
      </c>
      <c r="J54" s="12" t="str">
        <f>VLOOKUP(TableTemp[[#This Row],[Customer Code]],MCustomer[],2,FALSE)</f>
        <v>Liebher</v>
      </c>
      <c r="K54" s="12" t="str">
        <f>VLOOKUP(TableTemp[[#This Row],[Article code]],MArticle[],2,FALSE)</f>
        <v>Laptop bag red</v>
      </c>
      <c r="L54" s="12" t="str">
        <f>VLOOKUP(TableTemp[[#This Row],[Company]],MCompany[],3,FALSE)</f>
        <v>EUR</v>
      </c>
      <c r="M54" s="18">
        <f>IF(TableTemp[[#This Row],[Currency]]="EUR",ROUND(VLOOKUP(MONTH(TableTemp[[#This Row],[Document Date]]),MExchange[],2,FALSE)*TableTemp[[#This Row],[Sales Local Currency]],2),ROUND(TableTemp[[#This Row],[Sales Local Currency]],2))</f>
        <v>2302.88</v>
      </c>
    </row>
    <row r="55" spans="1:13" x14ac:dyDescent="0.2">
      <c r="A55" s="8" t="s">
        <v>32</v>
      </c>
      <c r="B55">
        <v>45444</v>
      </c>
      <c r="C55" s="9">
        <v>43388</v>
      </c>
      <c r="D55">
        <v>8060</v>
      </c>
      <c r="E55">
        <v>110</v>
      </c>
      <c r="G55">
        <v>60</v>
      </c>
      <c r="H55">
        <v>3600</v>
      </c>
      <c r="I55" s="12" t="str">
        <f>VLOOKUP(A55,MCompany[],2,FALSE)</f>
        <v>Lucas Basics</v>
      </c>
      <c r="J55" s="12" t="str">
        <f>VLOOKUP(TableTemp[[#This Row],[Customer Code]],MCustomer[],2,FALSE)</f>
        <v>Liebher</v>
      </c>
      <c r="K55" s="12" t="str">
        <f>VLOOKUP(TableTemp[[#This Row],[Article code]],MArticle[],2,FALSE)</f>
        <v>Smartphone case diamond</v>
      </c>
      <c r="L55" s="12" t="str">
        <f>VLOOKUP(TableTemp[[#This Row],[Company]],MCompany[],3,FALSE)</f>
        <v>EUR</v>
      </c>
      <c r="M55" s="18">
        <f>IF(TableTemp[[#This Row],[Currency]]="EUR",ROUND(VLOOKUP(MONTH(TableTemp[[#This Row],[Document Date]]),MExchange[],2,FALSE)*TableTemp[[#This Row],[Sales Local Currency]],2),ROUND(TableTemp[[#This Row],[Sales Local Currency]],2))</f>
        <v>4229.78</v>
      </c>
    </row>
    <row r="56" spans="1:13" x14ac:dyDescent="0.2">
      <c r="A56" s="8" t="s">
        <v>32</v>
      </c>
      <c r="B56">
        <v>45446</v>
      </c>
      <c r="C56" s="9">
        <v>43388</v>
      </c>
      <c r="D56">
        <v>8050</v>
      </c>
      <c r="E56">
        <v>111</v>
      </c>
      <c r="G56">
        <v>80</v>
      </c>
      <c r="H56">
        <v>1600</v>
      </c>
      <c r="I56" s="12" t="str">
        <f>VLOOKUP(A56,MCompany[],2,FALSE)</f>
        <v>Lucas Basics</v>
      </c>
      <c r="J56" s="12" t="str">
        <f>VLOOKUP(TableTemp[[#This Row],[Customer Code]],MCustomer[],2,FALSE)</f>
        <v>Aida GmbH</v>
      </c>
      <c r="K56" s="12" t="str">
        <f>VLOOKUP(TableTemp[[#This Row],[Article code]],MArticle[],2,FALSE)</f>
        <v>Smartphone case simple</v>
      </c>
      <c r="L56" s="12" t="str">
        <f>VLOOKUP(TableTemp[[#This Row],[Company]],MCompany[],3,FALSE)</f>
        <v>EUR</v>
      </c>
      <c r="M56" s="18">
        <f>IF(TableTemp[[#This Row],[Currency]]="EUR",ROUND(VLOOKUP(MONTH(TableTemp[[#This Row],[Document Date]]),MExchange[],2,FALSE)*TableTemp[[#This Row],[Sales Local Currency]],2),ROUND(TableTemp[[#This Row],[Sales Local Currency]],2))</f>
        <v>1879.9</v>
      </c>
    </row>
    <row r="57" spans="1:13" x14ac:dyDescent="0.2">
      <c r="A57" s="8" t="s">
        <v>32</v>
      </c>
      <c r="B57">
        <v>45446</v>
      </c>
      <c r="C57" s="9">
        <v>43388</v>
      </c>
      <c r="D57">
        <v>8050</v>
      </c>
      <c r="E57">
        <v>108</v>
      </c>
      <c r="G57">
        <v>50</v>
      </c>
      <c r="H57">
        <v>1400</v>
      </c>
      <c r="I57" s="12" t="str">
        <f>VLOOKUP(A57,MCompany[],2,FALSE)</f>
        <v>Lucas Basics</v>
      </c>
      <c r="J57" s="12" t="str">
        <f>VLOOKUP(TableTemp[[#This Row],[Customer Code]],MCustomer[],2,FALSE)</f>
        <v>Aida GmbH</v>
      </c>
      <c r="K57" s="12" t="str">
        <f>VLOOKUP(TableTemp[[#This Row],[Article code]],MArticle[],2,FALSE)</f>
        <v>Laptop bag black</v>
      </c>
      <c r="L57" s="12" t="str">
        <f>VLOOKUP(TableTemp[[#This Row],[Company]],MCompany[],3,FALSE)</f>
        <v>EUR</v>
      </c>
      <c r="M57" s="18">
        <f>IF(TableTemp[[#This Row],[Currency]]="EUR",ROUND(VLOOKUP(MONTH(TableTemp[[#This Row],[Document Date]]),MExchange[],2,FALSE)*TableTemp[[#This Row],[Sales Local Currency]],2),ROUND(TableTemp[[#This Row],[Sales Local Currency]],2))</f>
        <v>1644.91</v>
      </c>
    </row>
    <row r="58" spans="1:13" x14ac:dyDescent="0.2">
      <c r="A58" s="8" t="s">
        <v>32</v>
      </c>
      <c r="B58">
        <v>44015</v>
      </c>
      <c r="C58" s="9">
        <v>43383</v>
      </c>
      <c r="D58">
        <v>8060</v>
      </c>
      <c r="E58">
        <v>108</v>
      </c>
      <c r="G58">
        <v>60</v>
      </c>
      <c r="H58">
        <v>1680</v>
      </c>
      <c r="I58" s="12" t="str">
        <f>VLOOKUP(A58,MCompany[],2,FALSE)</f>
        <v>Lucas Basics</v>
      </c>
      <c r="J58" s="12" t="str">
        <f>VLOOKUP(TableTemp[[#This Row],[Customer Code]],MCustomer[],2,FALSE)</f>
        <v>Liebher</v>
      </c>
      <c r="K58" s="12" t="str">
        <f>VLOOKUP(TableTemp[[#This Row],[Article code]],MArticle[],2,FALSE)</f>
        <v>Laptop bag black</v>
      </c>
      <c r="L58" s="12" t="str">
        <f>VLOOKUP(TableTemp[[#This Row],[Company]],MCompany[],3,FALSE)</f>
        <v>EUR</v>
      </c>
      <c r="M58" s="18">
        <f>IF(TableTemp[[#This Row],[Currency]]="EUR",ROUND(VLOOKUP(MONTH(TableTemp[[#This Row],[Document Date]]),MExchange[],2,FALSE)*TableTemp[[#This Row],[Sales Local Currency]],2),ROUND(TableTemp[[#This Row],[Sales Local Currency]],2))</f>
        <v>1973.9</v>
      </c>
    </row>
    <row r="59" spans="1:13" x14ac:dyDescent="0.2">
      <c r="A59" s="8" t="s">
        <v>32</v>
      </c>
      <c r="B59">
        <v>44015</v>
      </c>
      <c r="C59" s="9">
        <v>43383</v>
      </c>
      <c r="D59">
        <v>8060</v>
      </c>
      <c r="E59">
        <v>109</v>
      </c>
      <c r="G59">
        <v>70</v>
      </c>
      <c r="H59">
        <v>1960</v>
      </c>
      <c r="I59" s="12" t="str">
        <f>VLOOKUP(A59,MCompany[],2,FALSE)</f>
        <v>Lucas Basics</v>
      </c>
      <c r="J59" s="12" t="str">
        <f>VLOOKUP(TableTemp[[#This Row],[Customer Code]],MCustomer[],2,FALSE)</f>
        <v>Liebher</v>
      </c>
      <c r="K59" s="12" t="str">
        <f>VLOOKUP(TableTemp[[#This Row],[Article code]],MArticle[],2,FALSE)</f>
        <v>Laptop bag red</v>
      </c>
      <c r="L59" s="12" t="str">
        <f>VLOOKUP(TableTemp[[#This Row],[Company]],MCompany[],3,FALSE)</f>
        <v>EUR</v>
      </c>
      <c r="M59" s="18">
        <f>IF(TableTemp[[#This Row],[Currency]]="EUR",ROUND(VLOOKUP(MONTH(TableTemp[[#This Row],[Document Date]]),MExchange[],2,FALSE)*TableTemp[[#This Row],[Sales Local Currency]],2),ROUND(TableTemp[[#This Row],[Sales Local Currency]],2))</f>
        <v>2302.88</v>
      </c>
    </row>
    <row r="60" spans="1:13" x14ac:dyDescent="0.2">
      <c r="A60" s="8" t="s">
        <v>32</v>
      </c>
      <c r="B60">
        <v>44017</v>
      </c>
      <c r="C60" s="9">
        <v>43386</v>
      </c>
      <c r="D60">
        <v>8060</v>
      </c>
      <c r="E60">
        <v>108</v>
      </c>
      <c r="G60">
        <v>70</v>
      </c>
      <c r="H60">
        <v>1960</v>
      </c>
      <c r="I60" s="12" t="str">
        <f>VLOOKUP(A60,MCompany[],2,FALSE)</f>
        <v>Lucas Basics</v>
      </c>
      <c r="J60" s="12" t="str">
        <f>VLOOKUP(TableTemp[[#This Row],[Customer Code]],MCustomer[],2,FALSE)</f>
        <v>Liebher</v>
      </c>
      <c r="K60" s="12" t="str">
        <f>VLOOKUP(TableTemp[[#This Row],[Article code]],MArticle[],2,FALSE)</f>
        <v>Laptop bag black</v>
      </c>
      <c r="L60" s="12" t="str">
        <f>VLOOKUP(TableTemp[[#This Row],[Company]],MCompany[],3,FALSE)</f>
        <v>EUR</v>
      </c>
      <c r="M60" s="18">
        <f>IF(TableTemp[[#This Row],[Currency]]="EUR",ROUND(VLOOKUP(MONTH(TableTemp[[#This Row],[Document Date]]),MExchange[],2,FALSE)*TableTemp[[#This Row],[Sales Local Currency]],2),ROUND(TableTemp[[#This Row],[Sales Local Currency]],2))</f>
        <v>2302.88</v>
      </c>
    </row>
    <row r="61" spans="1:13" x14ac:dyDescent="0.2">
      <c r="A61" s="8" t="s">
        <v>32</v>
      </c>
      <c r="B61">
        <v>44017</v>
      </c>
      <c r="C61" s="9">
        <v>43386</v>
      </c>
      <c r="D61">
        <v>8060</v>
      </c>
      <c r="E61">
        <v>109</v>
      </c>
      <c r="G61">
        <v>70</v>
      </c>
      <c r="H61">
        <v>1960</v>
      </c>
      <c r="I61" s="12" t="str">
        <f>VLOOKUP(A61,MCompany[],2,FALSE)</f>
        <v>Lucas Basics</v>
      </c>
      <c r="J61" s="12" t="str">
        <f>VLOOKUP(TableTemp[[#This Row],[Customer Code]],MCustomer[],2,FALSE)</f>
        <v>Liebher</v>
      </c>
      <c r="K61" s="12" t="str">
        <f>VLOOKUP(TableTemp[[#This Row],[Article code]],MArticle[],2,FALSE)</f>
        <v>Laptop bag red</v>
      </c>
      <c r="L61" s="12" t="str">
        <f>VLOOKUP(TableTemp[[#This Row],[Company]],MCompany[],3,FALSE)</f>
        <v>EUR</v>
      </c>
      <c r="M61" s="18">
        <f>IF(TableTemp[[#This Row],[Currency]]="EUR",ROUND(VLOOKUP(MONTH(TableTemp[[#This Row],[Document Date]]),MExchange[],2,FALSE)*TableTemp[[#This Row],[Sales Local Currency]],2),ROUND(TableTemp[[#This Row],[Sales Local Currency]],2))</f>
        <v>2302.88</v>
      </c>
    </row>
    <row r="62" spans="1:13" x14ac:dyDescent="0.2">
      <c r="A62" s="8" t="s">
        <v>32</v>
      </c>
      <c r="B62">
        <v>44016</v>
      </c>
      <c r="C62" s="9">
        <v>43387</v>
      </c>
      <c r="D62">
        <v>8050</v>
      </c>
      <c r="E62">
        <v>108</v>
      </c>
      <c r="G62">
        <v>70</v>
      </c>
      <c r="H62">
        <v>1960</v>
      </c>
      <c r="I62" s="12" t="str">
        <f>VLOOKUP(A62,MCompany[],2,FALSE)</f>
        <v>Lucas Basics</v>
      </c>
      <c r="J62" s="12" t="str">
        <f>VLOOKUP(TableTemp[[#This Row],[Customer Code]],MCustomer[],2,FALSE)</f>
        <v>Aida GmbH</v>
      </c>
      <c r="K62" s="12" t="str">
        <f>VLOOKUP(TableTemp[[#This Row],[Article code]],MArticle[],2,FALSE)</f>
        <v>Laptop bag black</v>
      </c>
      <c r="L62" s="12" t="str">
        <f>VLOOKUP(TableTemp[[#This Row],[Company]],MCompany[],3,FALSE)</f>
        <v>EUR</v>
      </c>
      <c r="M62" s="18">
        <f>IF(TableTemp[[#This Row],[Currency]]="EUR",ROUND(VLOOKUP(MONTH(TableTemp[[#This Row],[Document Date]]),MExchange[],2,FALSE)*TableTemp[[#This Row],[Sales Local Currency]],2),ROUND(TableTemp[[#This Row],[Sales Local Currency]],2))</f>
        <v>2302.88</v>
      </c>
    </row>
    <row r="63" spans="1:13" x14ac:dyDescent="0.2">
      <c r="A63" s="8" t="s">
        <v>32</v>
      </c>
      <c r="B63">
        <v>44016</v>
      </c>
      <c r="C63" s="9">
        <v>43387</v>
      </c>
      <c r="D63">
        <v>8050</v>
      </c>
      <c r="E63">
        <v>109</v>
      </c>
      <c r="F63">
        <v>1</v>
      </c>
      <c r="G63">
        <v>60</v>
      </c>
      <c r="H63">
        <v>1680</v>
      </c>
      <c r="I63" s="12" t="str">
        <f>VLOOKUP(A63,MCompany[],2,FALSE)</f>
        <v>Lucas Basics</v>
      </c>
      <c r="J63" s="12" t="str">
        <f>VLOOKUP(TableTemp[[#This Row],[Customer Code]],MCustomer[],2,FALSE)</f>
        <v>Aida GmbH</v>
      </c>
      <c r="K63" s="12" t="str">
        <f>VLOOKUP(TableTemp[[#This Row],[Article code]],MArticle[],2,FALSE)</f>
        <v>Laptop bag red</v>
      </c>
      <c r="L63" s="12" t="str">
        <f>VLOOKUP(TableTemp[[#This Row],[Company]],MCompany[],3,FALSE)</f>
        <v>EUR</v>
      </c>
      <c r="M63" s="18">
        <f>IF(TableTemp[[#This Row],[Currency]]="EUR",ROUND(VLOOKUP(MONTH(TableTemp[[#This Row],[Document Date]]),MExchange[],2,FALSE)*TableTemp[[#This Row],[Sales Local Currency]],2),ROUND(TableTemp[[#This Row],[Sales Local Currency]],2))</f>
        <v>1973.9</v>
      </c>
    </row>
    <row r="64" spans="1:13" x14ac:dyDescent="0.2">
      <c r="A64" s="8" t="s">
        <v>32</v>
      </c>
      <c r="B64">
        <v>44016</v>
      </c>
      <c r="C64" s="9">
        <v>43387</v>
      </c>
      <c r="D64">
        <v>8050</v>
      </c>
      <c r="E64">
        <v>110</v>
      </c>
      <c r="G64">
        <v>50</v>
      </c>
      <c r="H64">
        <v>3000</v>
      </c>
      <c r="I64" s="12" t="str">
        <f>VLOOKUP(A64,MCompany[],2,FALSE)</f>
        <v>Lucas Basics</v>
      </c>
      <c r="J64" s="12" t="str">
        <f>VLOOKUP(TableTemp[[#This Row],[Customer Code]],MCustomer[],2,FALSE)</f>
        <v>Aida GmbH</v>
      </c>
      <c r="K64" s="12" t="str">
        <f>VLOOKUP(TableTemp[[#This Row],[Article code]],MArticle[],2,FALSE)</f>
        <v>Smartphone case diamond</v>
      </c>
      <c r="L64" s="12" t="str">
        <f>VLOOKUP(TableTemp[[#This Row],[Company]],MCompany[],3,FALSE)</f>
        <v>EUR</v>
      </c>
      <c r="M64" s="18">
        <f>IF(TableTemp[[#This Row],[Currency]]="EUR",ROUND(VLOOKUP(MONTH(TableTemp[[#This Row],[Document Date]]),MExchange[],2,FALSE)*TableTemp[[#This Row],[Sales Local Currency]],2),ROUND(TableTemp[[#This Row],[Sales Local Currency]],2))</f>
        <v>3524.82</v>
      </c>
    </row>
    <row r="65" spans="1:13" x14ac:dyDescent="0.2">
      <c r="A65" s="8" t="s">
        <v>32</v>
      </c>
      <c r="B65">
        <v>48097</v>
      </c>
      <c r="C65" s="9">
        <v>43390</v>
      </c>
      <c r="D65">
        <v>8060</v>
      </c>
      <c r="E65">
        <v>109</v>
      </c>
      <c r="G65">
        <v>60</v>
      </c>
      <c r="H65">
        <v>1680</v>
      </c>
      <c r="I65" s="12" t="str">
        <f>VLOOKUP(A65,MCompany[],2,FALSE)</f>
        <v>Lucas Basics</v>
      </c>
      <c r="J65" s="12" t="str">
        <f>VLOOKUP(TableTemp[[#This Row],[Customer Code]],MCustomer[],2,FALSE)</f>
        <v>Liebher</v>
      </c>
      <c r="K65" s="12" t="str">
        <f>VLOOKUP(TableTemp[[#This Row],[Article code]],MArticle[],2,FALSE)</f>
        <v>Laptop bag red</v>
      </c>
      <c r="L65" s="12" t="str">
        <f>VLOOKUP(TableTemp[[#This Row],[Company]],MCompany[],3,FALSE)</f>
        <v>EUR</v>
      </c>
      <c r="M65" s="18">
        <f>IF(TableTemp[[#This Row],[Currency]]="EUR",ROUND(VLOOKUP(MONTH(TableTemp[[#This Row],[Document Date]]),MExchange[],2,FALSE)*TableTemp[[#This Row],[Sales Local Currency]],2),ROUND(TableTemp[[#This Row],[Sales Local Currency]],2))</f>
        <v>1973.9</v>
      </c>
    </row>
    <row r="66" spans="1:13" x14ac:dyDescent="0.2">
      <c r="A66" s="8" t="s">
        <v>32</v>
      </c>
      <c r="B66">
        <v>48097</v>
      </c>
      <c r="C66" s="9">
        <v>43390</v>
      </c>
      <c r="D66">
        <v>8060</v>
      </c>
      <c r="E66">
        <v>110</v>
      </c>
      <c r="G66">
        <v>70</v>
      </c>
      <c r="H66">
        <v>4200</v>
      </c>
      <c r="I66" s="12" t="str">
        <f>VLOOKUP(A66,MCompany[],2,FALSE)</f>
        <v>Lucas Basics</v>
      </c>
      <c r="J66" s="12" t="str">
        <f>VLOOKUP(TableTemp[[#This Row],[Customer Code]],MCustomer[],2,FALSE)</f>
        <v>Liebher</v>
      </c>
      <c r="K66" s="12" t="str">
        <f>VLOOKUP(TableTemp[[#This Row],[Article code]],MArticle[],2,FALSE)</f>
        <v>Smartphone case diamond</v>
      </c>
      <c r="L66" s="12" t="str">
        <f>VLOOKUP(TableTemp[[#This Row],[Company]],MCompany[],3,FALSE)</f>
        <v>EUR</v>
      </c>
      <c r="M66" s="18">
        <f>IF(TableTemp[[#This Row],[Currency]]="EUR",ROUND(VLOOKUP(MONTH(TableTemp[[#This Row],[Document Date]]),MExchange[],2,FALSE)*TableTemp[[#This Row],[Sales Local Currency]],2),ROUND(TableTemp[[#This Row],[Sales Local Currency]],2))</f>
        <v>4934.74</v>
      </c>
    </row>
    <row r="67" spans="1:13" x14ac:dyDescent="0.2">
      <c r="A67" s="8" t="s">
        <v>32</v>
      </c>
      <c r="B67">
        <v>48099</v>
      </c>
      <c r="C67" s="9">
        <v>43390</v>
      </c>
      <c r="D67">
        <v>8050</v>
      </c>
      <c r="E67">
        <v>109</v>
      </c>
      <c r="F67">
        <v>1</v>
      </c>
      <c r="G67">
        <v>60</v>
      </c>
      <c r="H67">
        <v>1680</v>
      </c>
      <c r="I67" s="12" t="str">
        <f>VLOOKUP(A67,MCompany[],2,FALSE)</f>
        <v>Lucas Basics</v>
      </c>
      <c r="J67" s="12" t="str">
        <f>VLOOKUP(TableTemp[[#This Row],[Customer Code]],MCustomer[],2,FALSE)</f>
        <v>Aida GmbH</v>
      </c>
      <c r="K67" s="12" t="str">
        <f>VLOOKUP(TableTemp[[#This Row],[Article code]],MArticle[],2,FALSE)</f>
        <v>Laptop bag red</v>
      </c>
      <c r="L67" s="12" t="str">
        <f>VLOOKUP(TableTemp[[#This Row],[Company]],MCompany[],3,FALSE)</f>
        <v>EUR</v>
      </c>
      <c r="M67" s="18">
        <f>IF(TableTemp[[#This Row],[Currency]]="EUR",ROUND(VLOOKUP(MONTH(TableTemp[[#This Row],[Document Date]]),MExchange[],2,FALSE)*TableTemp[[#This Row],[Sales Local Currency]],2),ROUND(TableTemp[[#This Row],[Sales Local Currency]],2))</f>
        <v>1973.9</v>
      </c>
    </row>
    <row r="68" spans="1:13" x14ac:dyDescent="0.2">
      <c r="A68" s="8" t="s">
        <v>32</v>
      </c>
      <c r="B68">
        <v>48099</v>
      </c>
      <c r="C68" s="9">
        <v>43390</v>
      </c>
      <c r="D68">
        <v>8050</v>
      </c>
      <c r="E68">
        <v>110</v>
      </c>
      <c r="G68">
        <v>60</v>
      </c>
      <c r="H68">
        <v>3600</v>
      </c>
      <c r="I68" s="12" t="str">
        <f>VLOOKUP(A68,MCompany[],2,FALSE)</f>
        <v>Lucas Basics</v>
      </c>
      <c r="J68" s="12" t="str">
        <f>VLOOKUP(TableTemp[[#This Row],[Customer Code]],MCustomer[],2,FALSE)</f>
        <v>Aida GmbH</v>
      </c>
      <c r="K68" s="12" t="str">
        <f>VLOOKUP(TableTemp[[#This Row],[Article code]],MArticle[],2,FALSE)</f>
        <v>Smartphone case diamond</v>
      </c>
      <c r="L68" s="12" t="str">
        <f>VLOOKUP(TableTemp[[#This Row],[Company]],MCompany[],3,FALSE)</f>
        <v>EUR</v>
      </c>
      <c r="M68" s="18">
        <f>IF(TableTemp[[#This Row],[Currency]]="EUR",ROUND(VLOOKUP(MONTH(TableTemp[[#This Row],[Document Date]]),MExchange[],2,FALSE)*TableTemp[[#This Row],[Sales Local Currency]],2),ROUND(TableTemp[[#This Row],[Sales Local Currency]],2))</f>
        <v>4229.78</v>
      </c>
    </row>
    <row r="69" spans="1:13" x14ac:dyDescent="0.2">
      <c r="A69" s="8" t="s">
        <v>32</v>
      </c>
      <c r="B69">
        <v>48099</v>
      </c>
      <c r="C69" s="9">
        <v>43390</v>
      </c>
      <c r="D69">
        <v>8050</v>
      </c>
      <c r="E69">
        <v>111</v>
      </c>
      <c r="G69">
        <v>60</v>
      </c>
      <c r="H69">
        <v>1200</v>
      </c>
      <c r="I69" s="12" t="str">
        <f>VLOOKUP(A69,MCompany[],2,FALSE)</f>
        <v>Lucas Basics</v>
      </c>
      <c r="J69" s="12" t="str">
        <f>VLOOKUP(TableTemp[[#This Row],[Customer Code]],MCustomer[],2,FALSE)</f>
        <v>Aida GmbH</v>
      </c>
      <c r="K69" s="12" t="str">
        <f>VLOOKUP(TableTemp[[#This Row],[Article code]],MArticle[],2,FALSE)</f>
        <v>Smartphone case simple</v>
      </c>
      <c r="L69" s="12" t="str">
        <f>VLOOKUP(TableTemp[[#This Row],[Company]],MCompany[],3,FALSE)</f>
        <v>EUR</v>
      </c>
      <c r="M69" s="18">
        <f>IF(TableTemp[[#This Row],[Currency]]="EUR",ROUND(VLOOKUP(MONTH(TableTemp[[#This Row],[Document Date]]),MExchange[],2,FALSE)*TableTemp[[#This Row],[Sales Local Currency]],2),ROUND(TableTemp[[#This Row],[Sales Local Currency]],2))</f>
        <v>1409.93</v>
      </c>
    </row>
    <row r="70" spans="1:13" x14ac:dyDescent="0.2">
      <c r="A70" s="8" t="s">
        <v>32</v>
      </c>
      <c r="B70">
        <v>48101</v>
      </c>
      <c r="C70" s="9">
        <v>43390</v>
      </c>
      <c r="D70">
        <v>8060</v>
      </c>
      <c r="E70">
        <v>109</v>
      </c>
      <c r="G70">
        <v>60</v>
      </c>
      <c r="H70">
        <v>1680</v>
      </c>
      <c r="I70" s="12" t="str">
        <f>VLOOKUP(A70,MCompany[],2,FALSE)</f>
        <v>Lucas Basics</v>
      </c>
      <c r="J70" s="12" t="str">
        <f>VLOOKUP(TableTemp[[#This Row],[Customer Code]],MCustomer[],2,FALSE)</f>
        <v>Liebher</v>
      </c>
      <c r="K70" s="12" t="str">
        <f>VLOOKUP(TableTemp[[#This Row],[Article code]],MArticle[],2,FALSE)</f>
        <v>Laptop bag red</v>
      </c>
      <c r="L70" s="12" t="str">
        <f>VLOOKUP(TableTemp[[#This Row],[Company]],MCompany[],3,FALSE)</f>
        <v>EUR</v>
      </c>
      <c r="M70" s="18">
        <f>IF(TableTemp[[#This Row],[Currency]]="EUR",ROUND(VLOOKUP(MONTH(TableTemp[[#This Row],[Document Date]]),MExchange[],2,FALSE)*TableTemp[[#This Row],[Sales Local Currency]],2),ROUND(TableTemp[[#This Row],[Sales Local Currency]],2))</f>
        <v>1973.9</v>
      </c>
    </row>
    <row r="71" spans="1:13" x14ac:dyDescent="0.2">
      <c r="A71" s="8" t="s">
        <v>32</v>
      </c>
      <c r="B71">
        <v>48101</v>
      </c>
      <c r="C71" s="9">
        <v>43390</v>
      </c>
      <c r="D71">
        <v>8060</v>
      </c>
      <c r="E71">
        <v>110</v>
      </c>
      <c r="G71">
        <v>50</v>
      </c>
      <c r="H71">
        <v>3000</v>
      </c>
      <c r="I71" s="12" t="str">
        <f>VLOOKUP(A71,MCompany[],2,FALSE)</f>
        <v>Lucas Basics</v>
      </c>
      <c r="J71" s="12" t="str">
        <f>VLOOKUP(TableTemp[[#This Row],[Customer Code]],MCustomer[],2,FALSE)</f>
        <v>Liebher</v>
      </c>
      <c r="K71" s="12" t="str">
        <f>VLOOKUP(TableTemp[[#This Row],[Article code]],MArticle[],2,FALSE)</f>
        <v>Smartphone case diamond</v>
      </c>
      <c r="L71" s="12" t="str">
        <f>VLOOKUP(TableTemp[[#This Row],[Company]],MCompany[],3,FALSE)</f>
        <v>EUR</v>
      </c>
      <c r="M71" s="18">
        <f>IF(TableTemp[[#This Row],[Currency]]="EUR",ROUND(VLOOKUP(MONTH(TableTemp[[#This Row],[Document Date]]),MExchange[],2,FALSE)*TableTemp[[#This Row],[Sales Local Currency]],2),ROUND(TableTemp[[#This Row],[Sales Local Currency]],2))</f>
        <v>3524.82</v>
      </c>
    </row>
    <row r="72" spans="1:13" x14ac:dyDescent="0.2">
      <c r="A72" s="8" t="s">
        <v>32</v>
      </c>
      <c r="B72">
        <v>45427</v>
      </c>
      <c r="C72" s="9">
        <v>43394</v>
      </c>
      <c r="D72">
        <v>8050</v>
      </c>
      <c r="E72">
        <v>108</v>
      </c>
      <c r="G72">
        <v>70</v>
      </c>
      <c r="H72">
        <v>1960</v>
      </c>
      <c r="I72" s="12" t="str">
        <f>VLOOKUP(A72,MCompany[],2,FALSE)</f>
        <v>Lucas Basics</v>
      </c>
      <c r="J72" s="12" t="str">
        <f>VLOOKUP(TableTemp[[#This Row],[Customer Code]],MCustomer[],2,FALSE)</f>
        <v>Aida GmbH</v>
      </c>
      <c r="K72" s="12" t="str">
        <f>VLOOKUP(TableTemp[[#This Row],[Article code]],MArticle[],2,FALSE)</f>
        <v>Laptop bag black</v>
      </c>
      <c r="L72" s="12" t="str">
        <f>VLOOKUP(TableTemp[[#This Row],[Company]],MCompany[],3,FALSE)</f>
        <v>EUR</v>
      </c>
      <c r="M72" s="18">
        <f>IF(TableTemp[[#This Row],[Currency]]="EUR",ROUND(VLOOKUP(MONTH(TableTemp[[#This Row],[Document Date]]),MExchange[],2,FALSE)*TableTemp[[#This Row],[Sales Local Currency]],2),ROUND(TableTemp[[#This Row],[Sales Local Currency]],2))</f>
        <v>2302.88</v>
      </c>
    </row>
    <row r="73" spans="1:13" x14ac:dyDescent="0.2">
      <c r="A73" s="8" t="s">
        <v>32</v>
      </c>
      <c r="B73">
        <v>45427</v>
      </c>
      <c r="C73" s="9">
        <v>43394</v>
      </c>
      <c r="D73">
        <v>8050</v>
      </c>
      <c r="E73">
        <v>109</v>
      </c>
      <c r="G73">
        <v>60</v>
      </c>
      <c r="H73">
        <v>1680</v>
      </c>
      <c r="I73" s="12" t="str">
        <f>VLOOKUP(A73,MCompany[],2,FALSE)</f>
        <v>Lucas Basics</v>
      </c>
      <c r="J73" s="12" t="str">
        <f>VLOOKUP(TableTemp[[#This Row],[Customer Code]],MCustomer[],2,FALSE)</f>
        <v>Aida GmbH</v>
      </c>
      <c r="K73" s="12" t="str">
        <f>VLOOKUP(TableTemp[[#This Row],[Article code]],MArticle[],2,FALSE)</f>
        <v>Laptop bag red</v>
      </c>
      <c r="L73" s="12" t="str">
        <f>VLOOKUP(TableTemp[[#This Row],[Company]],MCompany[],3,FALSE)</f>
        <v>EUR</v>
      </c>
      <c r="M73" s="18">
        <f>IF(TableTemp[[#This Row],[Currency]]="EUR",ROUND(VLOOKUP(MONTH(TableTemp[[#This Row],[Document Date]]),MExchange[],2,FALSE)*TableTemp[[#This Row],[Sales Local Currency]],2),ROUND(TableTemp[[#This Row],[Sales Local Currency]],2))</f>
        <v>1973.9</v>
      </c>
    </row>
    <row r="74" spans="1:13" x14ac:dyDescent="0.2">
      <c r="A74" s="8" t="s">
        <v>32</v>
      </c>
      <c r="B74">
        <v>45429</v>
      </c>
      <c r="C74" s="9">
        <v>43394</v>
      </c>
      <c r="D74">
        <v>8060</v>
      </c>
      <c r="E74">
        <v>108</v>
      </c>
      <c r="G74">
        <v>80</v>
      </c>
      <c r="H74">
        <v>2240</v>
      </c>
      <c r="I74" s="12" t="str">
        <f>VLOOKUP(A74,MCompany[],2,FALSE)</f>
        <v>Lucas Basics</v>
      </c>
      <c r="J74" s="12" t="str">
        <f>VLOOKUP(TableTemp[[#This Row],[Customer Code]],MCustomer[],2,FALSE)</f>
        <v>Liebher</v>
      </c>
      <c r="K74" s="12" t="str">
        <f>VLOOKUP(TableTemp[[#This Row],[Article code]],MArticle[],2,FALSE)</f>
        <v>Laptop bag black</v>
      </c>
      <c r="L74" s="12" t="str">
        <f>VLOOKUP(TableTemp[[#This Row],[Company]],MCompany[],3,FALSE)</f>
        <v>EUR</v>
      </c>
      <c r="M74" s="18">
        <f>IF(TableTemp[[#This Row],[Currency]]="EUR",ROUND(VLOOKUP(MONTH(TableTemp[[#This Row],[Document Date]]),MExchange[],2,FALSE)*TableTemp[[#This Row],[Sales Local Currency]],2),ROUND(TableTemp[[#This Row],[Sales Local Currency]],2))</f>
        <v>2631.86</v>
      </c>
    </row>
    <row r="75" spans="1:13" x14ac:dyDescent="0.2">
      <c r="A75" s="8" t="s">
        <v>32</v>
      </c>
      <c r="B75">
        <v>45429</v>
      </c>
      <c r="C75" s="9">
        <v>43394</v>
      </c>
      <c r="D75">
        <v>8060</v>
      </c>
      <c r="E75">
        <v>109</v>
      </c>
      <c r="F75">
        <v>2</v>
      </c>
      <c r="G75">
        <v>80</v>
      </c>
      <c r="H75">
        <v>2240</v>
      </c>
      <c r="I75" s="12" t="str">
        <f>VLOOKUP(A75,MCompany[],2,FALSE)</f>
        <v>Lucas Basics</v>
      </c>
      <c r="J75" s="12" t="str">
        <f>VLOOKUP(TableTemp[[#This Row],[Customer Code]],MCustomer[],2,FALSE)</f>
        <v>Liebher</v>
      </c>
      <c r="K75" s="12" t="str">
        <f>VLOOKUP(TableTemp[[#This Row],[Article code]],MArticle[],2,FALSE)</f>
        <v>Laptop bag red</v>
      </c>
      <c r="L75" s="12" t="str">
        <f>VLOOKUP(TableTemp[[#This Row],[Company]],MCompany[],3,FALSE)</f>
        <v>EUR</v>
      </c>
      <c r="M75" s="18">
        <f>IF(TableTemp[[#This Row],[Currency]]="EUR",ROUND(VLOOKUP(MONTH(TableTemp[[#This Row],[Document Date]]),MExchange[],2,FALSE)*TableTemp[[#This Row],[Sales Local Currency]],2),ROUND(TableTemp[[#This Row],[Sales Local Currency]],2))</f>
        <v>2631.86</v>
      </c>
    </row>
    <row r="76" spans="1:13" x14ac:dyDescent="0.2">
      <c r="A76" s="8" t="s">
        <v>32</v>
      </c>
      <c r="B76">
        <v>45429</v>
      </c>
      <c r="C76" s="9">
        <v>43394</v>
      </c>
      <c r="D76">
        <v>8060</v>
      </c>
      <c r="E76">
        <v>110</v>
      </c>
      <c r="G76">
        <v>50</v>
      </c>
      <c r="H76">
        <v>3000</v>
      </c>
      <c r="I76" s="12" t="str">
        <f>VLOOKUP(A76,MCompany[],2,FALSE)</f>
        <v>Lucas Basics</v>
      </c>
      <c r="J76" s="12" t="str">
        <f>VLOOKUP(TableTemp[[#This Row],[Customer Code]],MCustomer[],2,FALSE)</f>
        <v>Liebher</v>
      </c>
      <c r="K76" s="12" t="str">
        <f>VLOOKUP(TableTemp[[#This Row],[Article code]],MArticle[],2,FALSE)</f>
        <v>Smartphone case diamond</v>
      </c>
      <c r="L76" s="12" t="str">
        <f>VLOOKUP(TableTemp[[#This Row],[Company]],MCompany[],3,FALSE)</f>
        <v>EUR</v>
      </c>
      <c r="M76" s="18">
        <f>IF(TableTemp[[#This Row],[Currency]]="EUR",ROUND(VLOOKUP(MONTH(TableTemp[[#This Row],[Document Date]]),MExchange[],2,FALSE)*TableTemp[[#This Row],[Sales Local Currency]],2),ROUND(TableTemp[[#This Row],[Sales Local Currency]],2))</f>
        <v>3524.82</v>
      </c>
    </row>
    <row r="77" spans="1:13" x14ac:dyDescent="0.2">
      <c r="A77" s="8" t="s">
        <v>32</v>
      </c>
      <c r="B77">
        <v>45431</v>
      </c>
      <c r="C77" s="9">
        <v>43394</v>
      </c>
      <c r="D77">
        <v>8050</v>
      </c>
      <c r="E77">
        <v>111</v>
      </c>
      <c r="G77">
        <v>60</v>
      </c>
      <c r="H77">
        <v>1200</v>
      </c>
      <c r="I77" s="12" t="str">
        <f>VLOOKUP(A77,MCompany[],2,FALSE)</f>
        <v>Lucas Basics</v>
      </c>
      <c r="J77" s="12" t="str">
        <f>VLOOKUP(TableTemp[[#This Row],[Customer Code]],MCustomer[],2,FALSE)</f>
        <v>Aida GmbH</v>
      </c>
      <c r="K77" s="12" t="str">
        <f>VLOOKUP(TableTemp[[#This Row],[Article code]],MArticle[],2,FALSE)</f>
        <v>Smartphone case simple</v>
      </c>
      <c r="L77" s="12" t="str">
        <f>VLOOKUP(TableTemp[[#This Row],[Company]],MCompany[],3,FALSE)</f>
        <v>EUR</v>
      </c>
      <c r="M77" s="18">
        <f>IF(TableTemp[[#This Row],[Currency]]="EUR",ROUND(VLOOKUP(MONTH(TableTemp[[#This Row],[Document Date]]),MExchange[],2,FALSE)*TableTemp[[#This Row],[Sales Local Currency]],2),ROUND(TableTemp[[#This Row],[Sales Local Currency]],2))</f>
        <v>1409.93</v>
      </c>
    </row>
    <row r="78" spans="1:13" x14ac:dyDescent="0.2">
      <c r="A78" s="8" t="s">
        <v>32</v>
      </c>
      <c r="B78">
        <v>45431</v>
      </c>
      <c r="C78" s="9">
        <v>43394</v>
      </c>
      <c r="D78">
        <v>8050</v>
      </c>
      <c r="E78">
        <v>108</v>
      </c>
      <c r="G78">
        <v>60</v>
      </c>
      <c r="H78">
        <v>1680</v>
      </c>
      <c r="I78" s="12" t="str">
        <f>VLOOKUP(A78,MCompany[],2,FALSE)</f>
        <v>Lucas Basics</v>
      </c>
      <c r="J78" s="12" t="str">
        <f>VLOOKUP(TableTemp[[#This Row],[Customer Code]],MCustomer[],2,FALSE)</f>
        <v>Aida GmbH</v>
      </c>
      <c r="K78" s="12" t="str">
        <f>VLOOKUP(TableTemp[[#This Row],[Article code]],MArticle[],2,FALSE)</f>
        <v>Laptop bag black</v>
      </c>
      <c r="L78" s="12" t="str">
        <f>VLOOKUP(TableTemp[[#This Row],[Company]],MCompany[],3,FALSE)</f>
        <v>EUR</v>
      </c>
      <c r="M78" s="18">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workbookViewId="0">
      <selection activeCell="C16" sqref="C16"/>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25</v>
      </c>
      <c r="C2" s="3"/>
      <c r="D2" s="3"/>
      <c r="E2" s="3"/>
      <c r="F2" s="3"/>
      <c r="G2" s="3"/>
      <c r="H2" s="3"/>
      <c r="I2" s="3"/>
      <c r="J2" s="3"/>
    </row>
    <row r="3" spans="1:10" ht="15" x14ac:dyDescent="0.25">
      <c r="A3" s="3"/>
      <c r="B3" s="3" t="s">
        <v>26</v>
      </c>
      <c r="C3" s="3"/>
      <c r="D3" s="3"/>
      <c r="E3" s="3"/>
      <c r="F3" s="3"/>
      <c r="G3" s="3"/>
      <c r="H3" s="3"/>
      <c r="I3" s="3"/>
      <c r="J3" s="3"/>
    </row>
    <row r="4" spans="1:10" x14ac:dyDescent="0.2">
      <c r="A4" s="2"/>
      <c r="B4" s="2"/>
      <c r="C4" s="2"/>
      <c r="D4" s="2"/>
      <c r="E4" s="2"/>
      <c r="F4" s="2"/>
      <c r="G4" s="2"/>
      <c r="H4" s="2"/>
      <c r="I4" s="2"/>
      <c r="J4" s="2"/>
    </row>
    <row r="6" spans="1:10" x14ac:dyDescent="0.2">
      <c r="A6" s="4" t="s">
        <v>28</v>
      </c>
      <c r="B6" s="4"/>
      <c r="C6" s="4"/>
      <c r="D6" s="4"/>
      <c r="E6" s="4"/>
      <c r="F6" s="4"/>
      <c r="G6" s="4"/>
      <c r="H6" s="4"/>
      <c r="I6" s="4"/>
      <c r="J6" s="4"/>
    </row>
    <row r="7" spans="1:10" x14ac:dyDescent="0.2">
      <c r="A7" s="15"/>
      <c r="B7" s="15"/>
      <c r="C7" s="15"/>
      <c r="D7" s="15"/>
      <c r="E7" s="15"/>
      <c r="F7" s="15"/>
      <c r="G7" s="15"/>
      <c r="H7" s="15"/>
      <c r="I7" s="15"/>
      <c r="J7" s="15"/>
    </row>
    <row r="8" spans="1:10" ht="26.25" customHeight="1" x14ac:dyDescent="0.2">
      <c r="B8" s="5" t="s">
        <v>57</v>
      </c>
      <c r="C8" s="6" t="s">
        <v>36</v>
      </c>
      <c r="D8" s="6" t="s">
        <v>4</v>
      </c>
      <c r="E8" s="6" t="s">
        <v>61</v>
      </c>
      <c r="G8" s="6" t="s">
        <v>78</v>
      </c>
    </row>
    <row r="9" spans="1:10" x14ac:dyDescent="0.2">
      <c r="B9" t="s">
        <v>29</v>
      </c>
      <c r="C9" t="s">
        <v>33</v>
      </c>
      <c r="D9" t="s">
        <v>1</v>
      </c>
      <c r="E9" t="s">
        <v>62</v>
      </c>
      <c r="G9" t="s">
        <v>62</v>
      </c>
    </row>
    <row r="10" spans="1:10" x14ac:dyDescent="0.2">
      <c r="B10" t="s">
        <v>30</v>
      </c>
      <c r="C10" t="s">
        <v>52</v>
      </c>
      <c r="D10" t="s">
        <v>1</v>
      </c>
      <c r="E10" t="s">
        <v>62</v>
      </c>
      <c r="G10" t="s">
        <v>63</v>
      </c>
    </row>
    <row r="11" spans="1:10" x14ac:dyDescent="0.2">
      <c r="B11" s="16" t="s">
        <v>31</v>
      </c>
      <c r="C11" s="16" t="s">
        <v>35</v>
      </c>
      <c r="D11" s="16" t="s">
        <v>39</v>
      </c>
      <c r="E11" t="s">
        <v>63</v>
      </c>
    </row>
    <row r="12" spans="1:10" x14ac:dyDescent="0.2">
      <c r="B12" s="16" t="s">
        <v>32</v>
      </c>
      <c r="C12" s="16" t="s">
        <v>34</v>
      </c>
      <c r="D12" s="16" t="s">
        <v>39</v>
      </c>
      <c r="E12" t="s">
        <v>63</v>
      </c>
    </row>
    <row r="13" spans="1:10" x14ac:dyDescent="0.2">
      <c r="B13" s="16"/>
      <c r="C13" s="16"/>
      <c r="D13" s="16"/>
    </row>
    <row r="14" spans="1:10" x14ac:dyDescent="0.2">
      <c r="A14" s="4" t="s">
        <v>37</v>
      </c>
      <c r="B14" s="4"/>
      <c r="C14" s="4"/>
      <c r="D14" s="4"/>
      <c r="E14" s="4"/>
      <c r="F14" s="4"/>
      <c r="G14" s="4"/>
      <c r="H14" s="4"/>
      <c r="I14" s="4"/>
      <c r="J14" s="4"/>
    </row>
    <row r="15" spans="1:10" x14ac:dyDescent="0.2">
      <c r="A15" s="15"/>
      <c r="B15" s="15"/>
      <c r="C15" s="15"/>
      <c r="D15" s="15"/>
      <c r="E15" s="15"/>
      <c r="F15" s="15"/>
      <c r="G15" s="15"/>
      <c r="H15" s="15"/>
      <c r="I15" s="15"/>
      <c r="J15" s="15"/>
    </row>
    <row r="16" spans="1:10" ht="15" x14ac:dyDescent="0.2">
      <c r="B16" s="5" t="s">
        <v>56</v>
      </c>
      <c r="C16" s="6" t="s">
        <v>47</v>
      </c>
    </row>
    <row r="17" spans="1:10" x14ac:dyDescent="0.2">
      <c r="B17">
        <v>8010</v>
      </c>
      <c r="C17" t="s">
        <v>51</v>
      </c>
    </row>
    <row r="18" spans="1:10" x14ac:dyDescent="0.2">
      <c r="B18">
        <v>8020</v>
      </c>
      <c r="C18" t="s">
        <v>53</v>
      </c>
    </row>
    <row r="19" spans="1:10" x14ac:dyDescent="0.2">
      <c r="B19">
        <v>8030</v>
      </c>
      <c r="C19" t="s">
        <v>54</v>
      </c>
    </row>
    <row r="20" spans="1:10" x14ac:dyDescent="0.2">
      <c r="B20">
        <v>8040</v>
      </c>
      <c r="C20" t="s">
        <v>79</v>
      </c>
    </row>
    <row r="21" spans="1:10" x14ac:dyDescent="0.2">
      <c r="B21">
        <v>8050</v>
      </c>
      <c r="C21" t="s">
        <v>80</v>
      </c>
    </row>
    <row r="22" spans="1:10" x14ac:dyDescent="0.2">
      <c r="B22">
        <v>8060</v>
      </c>
      <c r="C22" t="s">
        <v>81</v>
      </c>
    </row>
    <row r="24" spans="1:10" x14ac:dyDescent="0.2">
      <c r="A24" s="4" t="s">
        <v>27</v>
      </c>
      <c r="B24" s="4"/>
      <c r="C24" s="4"/>
      <c r="D24" s="4"/>
      <c r="E24" s="4"/>
      <c r="F24" s="4"/>
      <c r="G24" s="4"/>
      <c r="H24" s="4"/>
      <c r="I24" s="4"/>
      <c r="J24" s="4"/>
    </row>
    <row r="25" spans="1:10" x14ac:dyDescent="0.2">
      <c r="A25" s="15"/>
      <c r="B25" s="15"/>
      <c r="C25" s="15"/>
      <c r="D25" s="15"/>
      <c r="E25" s="15"/>
      <c r="F25" s="15"/>
      <c r="G25" s="15"/>
      <c r="H25" s="15"/>
      <c r="I25" s="15"/>
      <c r="J25" s="15"/>
    </row>
    <row r="26" spans="1:10" ht="15" x14ac:dyDescent="0.2">
      <c r="B26" s="5" t="s">
        <v>59</v>
      </c>
      <c r="C26" s="6" t="s">
        <v>0</v>
      </c>
    </row>
    <row r="27" spans="1:10" x14ac:dyDescent="0.2">
      <c r="B27" s="1">
        <v>101</v>
      </c>
      <c r="C27" t="s">
        <v>7</v>
      </c>
      <c r="F27" s="1"/>
    </row>
    <row r="28" spans="1:10" x14ac:dyDescent="0.2">
      <c r="B28" s="1">
        <v>102</v>
      </c>
      <c r="C28" t="s">
        <v>8</v>
      </c>
      <c r="F28" s="1"/>
    </row>
    <row r="29" spans="1:10" x14ac:dyDescent="0.2">
      <c r="B29" s="1">
        <v>103</v>
      </c>
      <c r="C29" t="s">
        <v>9</v>
      </c>
      <c r="F29" s="1"/>
    </row>
    <row r="30" spans="1:10" x14ac:dyDescent="0.2">
      <c r="B30" s="1">
        <v>104</v>
      </c>
      <c r="C30" t="s">
        <v>10</v>
      </c>
      <c r="F30" s="1"/>
    </row>
    <row r="31" spans="1:10" x14ac:dyDescent="0.2">
      <c r="B31" s="1">
        <v>105</v>
      </c>
      <c r="C31" t="s">
        <v>5</v>
      </c>
      <c r="F31" s="1"/>
    </row>
    <row r="32" spans="1:10" x14ac:dyDescent="0.2">
      <c r="B32" s="1">
        <v>106</v>
      </c>
      <c r="C32" t="s">
        <v>6</v>
      </c>
      <c r="F32" s="1"/>
    </row>
    <row r="33" spans="1:6" x14ac:dyDescent="0.2">
      <c r="B33" s="1">
        <v>107</v>
      </c>
      <c r="C33" t="s">
        <v>11</v>
      </c>
      <c r="F33" s="1"/>
    </row>
    <row r="34" spans="1:6" x14ac:dyDescent="0.2">
      <c r="B34" s="1">
        <v>108</v>
      </c>
      <c r="C34" t="s">
        <v>12</v>
      </c>
      <c r="F34" s="1"/>
    </row>
    <row r="35" spans="1:6" x14ac:dyDescent="0.2">
      <c r="B35" s="1">
        <v>109</v>
      </c>
      <c r="C35" t="s">
        <v>13</v>
      </c>
      <c r="F35" s="1"/>
    </row>
    <row r="36" spans="1:6" x14ac:dyDescent="0.2">
      <c r="B36" s="1">
        <v>110</v>
      </c>
      <c r="C36" t="s">
        <v>14</v>
      </c>
      <c r="F36" s="1"/>
    </row>
    <row r="37" spans="1:6" x14ac:dyDescent="0.2">
      <c r="B37" s="1">
        <v>111</v>
      </c>
      <c r="C37" t="s">
        <v>15</v>
      </c>
      <c r="F37" s="1"/>
    </row>
    <row r="38" spans="1:6" x14ac:dyDescent="0.2">
      <c r="B38" s="1">
        <v>112</v>
      </c>
      <c r="C38" t="s">
        <v>16</v>
      </c>
      <c r="F38" s="1"/>
    </row>
    <row r="39" spans="1:6" x14ac:dyDescent="0.2">
      <c r="B39" s="1">
        <v>113</v>
      </c>
      <c r="C39" t="s">
        <v>17</v>
      </c>
      <c r="F39" s="1"/>
    </row>
    <row r="40" spans="1:6" x14ac:dyDescent="0.2">
      <c r="B40" s="1">
        <v>114</v>
      </c>
      <c r="C40" t="s">
        <v>18</v>
      </c>
      <c r="F40" s="1"/>
    </row>
    <row r="41" spans="1:6" x14ac:dyDescent="0.2">
      <c r="B41" s="1">
        <v>115</v>
      </c>
      <c r="C41" t="s">
        <v>19</v>
      </c>
      <c r="F41" s="1"/>
    </row>
    <row r="42" spans="1:6" x14ac:dyDescent="0.2">
      <c r="B42" s="1">
        <v>116</v>
      </c>
      <c r="C42" t="s">
        <v>20</v>
      </c>
      <c r="F42" s="1"/>
    </row>
    <row r="43" spans="1:6" x14ac:dyDescent="0.2">
      <c r="B43" s="1">
        <v>117</v>
      </c>
      <c r="C43" t="s">
        <v>21</v>
      </c>
      <c r="F43" s="1"/>
    </row>
    <row r="44" spans="1:6" x14ac:dyDescent="0.2">
      <c r="B44" s="1">
        <v>118</v>
      </c>
      <c r="C44" t="s">
        <v>22</v>
      </c>
      <c r="F44" s="1"/>
    </row>
    <row r="45" spans="1:6" x14ac:dyDescent="0.2">
      <c r="B45" s="1">
        <v>119</v>
      </c>
      <c r="C45" t="s">
        <v>23</v>
      </c>
      <c r="F45" s="1"/>
    </row>
    <row r="46" spans="1:6" x14ac:dyDescent="0.2">
      <c r="B46" s="1">
        <v>120</v>
      </c>
      <c r="C46" t="s">
        <v>24</v>
      </c>
      <c r="F46" s="1"/>
    </row>
    <row r="47" spans="1:6" x14ac:dyDescent="0.2">
      <c r="A47" s="1"/>
    </row>
    <row r="48" spans="1:6" x14ac:dyDescent="0.2">
      <c r="A48" s="1"/>
    </row>
    <row r="50" spans="1:10" x14ac:dyDescent="0.2">
      <c r="A50" s="4" t="s">
        <v>93</v>
      </c>
      <c r="B50" s="4"/>
      <c r="C50" s="4"/>
      <c r="D50" s="4"/>
      <c r="E50" s="4"/>
      <c r="F50" s="4"/>
      <c r="G50" s="4"/>
      <c r="H50" s="4"/>
      <c r="I50" s="4"/>
      <c r="J50" s="4"/>
    </row>
    <row r="51" spans="1:10" x14ac:dyDescent="0.2">
      <c r="A51" s="15"/>
      <c r="B51" s="15"/>
      <c r="C51" s="15"/>
      <c r="D51" s="15"/>
      <c r="E51" s="15"/>
      <c r="F51" s="15"/>
      <c r="G51" s="15"/>
      <c r="H51" s="15"/>
      <c r="I51" s="15"/>
      <c r="J51" s="15"/>
    </row>
    <row r="52" spans="1:10" ht="15" x14ac:dyDescent="0.2">
      <c r="B52" s="5" t="s">
        <v>38</v>
      </c>
      <c r="C52" s="6" t="s">
        <v>58</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workbookViewId="0">
      <selection sqref="A1:XFD1048576"/>
    </sheetView>
  </sheetViews>
  <sheetFormatPr defaultRowHeight="12.75" x14ac:dyDescent="0.2"/>
  <cols>
    <col min="1" max="1" width="10.28515625"/>
    <col min="3" max="3" width="16.140625" customWidth="1"/>
  </cols>
  <sheetData>
    <row r="2" spans="2:9" x14ac:dyDescent="0.2">
      <c r="B2" t="s">
        <v>40</v>
      </c>
      <c r="C2" t="s">
        <v>29</v>
      </c>
    </row>
    <row r="4" spans="2:9" x14ac:dyDescent="0.2">
      <c r="B4" t="s">
        <v>3</v>
      </c>
      <c r="C4" t="s">
        <v>41</v>
      </c>
      <c r="D4" t="s">
        <v>76</v>
      </c>
      <c r="E4" t="s">
        <v>56</v>
      </c>
      <c r="F4" t="s">
        <v>59</v>
      </c>
      <c r="G4" t="s">
        <v>45</v>
      </c>
      <c r="H4" t="s">
        <v>43</v>
      </c>
      <c r="I4" t="s">
        <v>44</v>
      </c>
    </row>
    <row r="5" spans="2:9" x14ac:dyDescent="0.2">
      <c r="B5">
        <v>66030</v>
      </c>
      <c r="C5" s="9">
        <v>43377</v>
      </c>
      <c r="D5" t="s">
        <v>104</v>
      </c>
      <c r="E5">
        <v>8010</v>
      </c>
      <c r="F5">
        <v>103</v>
      </c>
      <c r="G5" t="s">
        <v>2</v>
      </c>
      <c r="H5">
        <v>120</v>
      </c>
      <c r="I5">
        <v>1440</v>
      </c>
    </row>
    <row r="6" spans="2:9" x14ac:dyDescent="0.2">
      <c r="B6">
        <v>66030</v>
      </c>
      <c r="C6" s="9">
        <v>43377</v>
      </c>
      <c r="D6" t="s">
        <v>105</v>
      </c>
      <c r="E6">
        <v>8010</v>
      </c>
      <c r="F6">
        <v>104</v>
      </c>
      <c r="H6">
        <v>150</v>
      </c>
      <c r="I6">
        <v>1800</v>
      </c>
    </row>
    <row r="7" spans="2:9" x14ac:dyDescent="0.2">
      <c r="B7">
        <v>66032</v>
      </c>
      <c r="C7" s="9">
        <v>43380</v>
      </c>
      <c r="D7" t="s">
        <v>106</v>
      </c>
      <c r="E7">
        <v>8010</v>
      </c>
      <c r="F7">
        <v>103</v>
      </c>
      <c r="H7">
        <v>170</v>
      </c>
      <c r="I7">
        <v>2040</v>
      </c>
    </row>
    <row r="8" spans="2:9" x14ac:dyDescent="0.2">
      <c r="B8">
        <v>66032</v>
      </c>
      <c r="C8" s="9">
        <v>43380</v>
      </c>
      <c r="D8" t="s">
        <v>107</v>
      </c>
      <c r="E8">
        <v>8010</v>
      </c>
      <c r="F8">
        <v>104</v>
      </c>
      <c r="H8">
        <v>140</v>
      </c>
      <c r="I8">
        <v>1680</v>
      </c>
    </row>
    <row r="9" spans="2:9" x14ac:dyDescent="0.2">
      <c r="B9">
        <v>66031</v>
      </c>
      <c r="C9" s="9">
        <v>43381</v>
      </c>
      <c r="D9" t="s">
        <v>108</v>
      </c>
      <c r="E9">
        <v>8020</v>
      </c>
      <c r="F9">
        <v>103</v>
      </c>
      <c r="G9">
        <v>1</v>
      </c>
      <c r="H9">
        <v>140</v>
      </c>
      <c r="I9">
        <v>1680</v>
      </c>
    </row>
    <row r="10" spans="2:9" x14ac:dyDescent="0.2">
      <c r="B10">
        <v>66031</v>
      </c>
      <c r="C10" s="9">
        <v>43381</v>
      </c>
      <c r="D10" t="s">
        <v>109</v>
      </c>
      <c r="E10">
        <v>8020</v>
      </c>
      <c r="F10">
        <v>104</v>
      </c>
      <c r="H10">
        <v>150</v>
      </c>
      <c r="I10">
        <v>1800</v>
      </c>
    </row>
    <row r="11" spans="2:9" x14ac:dyDescent="0.2">
      <c r="B11">
        <v>66031</v>
      </c>
      <c r="C11" s="9">
        <v>43381</v>
      </c>
      <c r="D11" t="s">
        <v>110</v>
      </c>
      <c r="E11">
        <v>8020</v>
      </c>
      <c r="F11">
        <v>105</v>
      </c>
      <c r="H11">
        <v>100</v>
      </c>
      <c r="I11">
        <v>1000</v>
      </c>
    </row>
    <row r="12" spans="2:9" x14ac:dyDescent="0.2">
      <c r="B12">
        <v>68112</v>
      </c>
      <c r="C12" s="9">
        <v>43384</v>
      </c>
      <c r="D12" t="s">
        <v>111</v>
      </c>
      <c r="E12">
        <v>8010</v>
      </c>
      <c r="F12">
        <v>104</v>
      </c>
      <c r="G12">
        <v>4</v>
      </c>
      <c r="H12">
        <v>180</v>
      </c>
      <c r="I12">
        <v>2160</v>
      </c>
    </row>
    <row r="13" spans="2:9" x14ac:dyDescent="0.2">
      <c r="B13">
        <v>68112</v>
      </c>
      <c r="C13" s="9">
        <v>43384</v>
      </c>
      <c r="D13" t="s">
        <v>106</v>
      </c>
      <c r="E13">
        <v>8010</v>
      </c>
      <c r="F13">
        <v>105</v>
      </c>
      <c r="H13">
        <v>120</v>
      </c>
      <c r="I13">
        <v>1200</v>
      </c>
    </row>
    <row r="14" spans="2:9" x14ac:dyDescent="0.2">
      <c r="B14">
        <v>68116</v>
      </c>
      <c r="C14" s="9">
        <v>43384</v>
      </c>
      <c r="D14" t="s">
        <v>112</v>
      </c>
      <c r="E14">
        <v>8020</v>
      </c>
      <c r="F14">
        <v>104</v>
      </c>
      <c r="H14">
        <v>150</v>
      </c>
      <c r="I14">
        <v>1800</v>
      </c>
    </row>
    <row r="15" spans="2:9" x14ac:dyDescent="0.2">
      <c r="B15">
        <v>68116</v>
      </c>
      <c r="C15" s="9">
        <v>43384</v>
      </c>
      <c r="D15" t="s">
        <v>111</v>
      </c>
      <c r="E15">
        <v>8020</v>
      </c>
      <c r="F15">
        <v>105</v>
      </c>
      <c r="H15">
        <v>190</v>
      </c>
      <c r="I15">
        <v>1900</v>
      </c>
    </row>
    <row r="16" spans="2:9" x14ac:dyDescent="0.2">
      <c r="B16">
        <v>68116</v>
      </c>
      <c r="C16" s="9">
        <v>43384</v>
      </c>
      <c r="D16" t="s">
        <v>108</v>
      </c>
      <c r="E16">
        <v>8020</v>
      </c>
      <c r="F16">
        <v>107</v>
      </c>
      <c r="G16">
        <v>2</v>
      </c>
      <c r="H16">
        <v>160</v>
      </c>
      <c r="I16">
        <v>800</v>
      </c>
    </row>
    <row r="17" spans="1:9" x14ac:dyDescent="0.2">
      <c r="B17">
        <v>68116</v>
      </c>
      <c r="C17" s="9">
        <v>43384</v>
      </c>
      <c r="D17" t="s">
        <v>108</v>
      </c>
      <c r="E17">
        <v>8010</v>
      </c>
      <c r="F17">
        <v>104</v>
      </c>
      <c r="H17">
        <v>160</v>
      </c>
      <c r="I17">
        <v>1920</v>
      </c>
    </row>
    <row r="18" spans="1:9" x14ac:dyDescent="0.2">
      <c r="B18">
        <v>68116</v>
      </c>
      <c r="C18" s="9">
        <v>43384</v>
      </c>
      <c r="D18" t="s">
        <v>104</v>
      </c>
      <c r="E18">
        <v>8010</v>
      </c>
      <c r="F18">
        <v>105</v>
      </c>
      <c r="H18">
        <v>190</v>
      </c>
      <c r="I18">
        <v>1900</v>
      </c>
    </row>
    <row r="19" spans="1:9" x14ac:dyDescent="0.2">
      <c r="B19">
        <v>65662</v>
      </c>
      <c r="C19" s="9">
        <v>43388</v>
      </c>
      <c r="D19" t="s">
        <v>107</v>
      </c>
      <c r="E19">
        <v>8020</v>
      </c>
      <c r="F19">
        <v>103</v>
      </c>
      <c r="H19">
        <v>120</v>
      </c>
      <c r="I19">
        <v>1440</v>
      </c>
    </row>
    <row r="20" spans="1:9" x14ac:dyDescent="0.2">
      <c r="B20">
        <v>65662</v>
      </c>
      <c r="C20" s="9">
        <v>43388</v>
      </c>
      <c r="D20" t="s">
        <v>110</v>
      </c>
      <c r="E20">
        <v>8020</v>
      </c>
      <c r="F20">
        <v>104</v>
      </c>
      <c r="H20">
        <v>110</v>
      </c>
      <c r="I20">
        <v>1320</v>
      </c>
    </row>
    <row r="21" spans="1:9" x14ac:dyDescent="0.2">
      <c r="B21">
        <v>65666</v>
      </c>
      <c r="C21" s="9">
        <v>43388</v>
      </c>
      <c r="D21" t="s">
        <v>107</v>
      </c>
      <c r="E21">
        <v>8010</v>
      </c>
      <c r="F21">
        <v>103</v>
      </c>
      <c r="H21">
        <v>120</v>
      </c>
      <c r="I21">
        <v>1440</v>
      </c>
    </row>
    <row r="22" spans="1:9" x14ac:dyDescent="0.2">
      <c r="B22">
        <v>65666</v>
      </c>
      <c r="C22" s="9">
        <v>43388</v>
      </c>
      <c r="D22" t="s">
        <v>106</v>
      </c>
      <c r="E22">
        <v>8010</v>
      </c>
      <c r="F22">
        <v>104</v>
      </c>
      <c r="H22">
        <v>140</v>
      </c>
      <c r="I22">
        <v>1680</v>
      </c>
    </row>
    <row r="23" spans="1:9" x14ac:dyDescent="0.2">
      <c r="B23">
        <v>65666</v>
      </c>
      <c r="C23" s="9">
        <v>43388</v>
      </c>
      <c r="D23" t="s">
        <v>105</v>
      </c>
      <c r="E23">
        <v>8010</v>
      </c>
      <c r="F23">
        <v>105</v>
      </c>
      <c r="H23">
        <v>160</v>
      </c>
      <c r="I23">
        <v>1600</v>
      </c>
    </row>
    <row r="24" spans="1:9" x14ac:dyDescent="0.2">
      <c r="B24">
        <v>65666</v>
      </c>
      <c r="C24" s="9">
        <v>43388</v>
      </c>
      <c r="D24" t="s">
        <v>112</v>
      </c>
      <c r="E24">
        <v>8020</v>
      </c>
      <c r="F24">
        <v>107</v>
      </c>
      <c r="H24">
        <v>120</v>
      </c>
      <c r="I24">
        <v>600</v>
      </c>
    </row>
    <row r="25" spans="1:9" x14ac:dyDescent="0.2">
      <c r="B25">
        <v>65666</v>
      </c>
      <c r="C25" s="9">
        <v>43388</v>
      </c>
      <c r="D25" t="s">
        <v>107</v>
      </c>
      <c r="E25">
        <v>8020</v>
      </c>
      <c r="F25">
        <v>103</v>
      </c>
      <c r="H25">
        <v>200</v>
      </c>
      <c r="I25">
        <v>2400</v>
      </c>
    </row>
    <row r="26" spans="1:9" x14ac:dyDescent="0.2">
      <c r="A26" s="9"/>
      <c r="B26">
        <v>66015</v>
      </c>
      <c r="C26" s="9">
        <v>43383</v>
      </c>
      <c r="D26" t="s">
        <v>111</v>
      </c>
      <c r="E26">
        <v>8010</v>
      </c>
      <c r="F26">
        <v>103</v>
      </c>
      <c r="H26">
        <v>140</v>
      </c>
      <c r="I26">
        <v>1680</v>
      </c>
    </row>
    <row r="27" spans="1:9" x14ac:dyDescent="0.2">
      <c r="A27" s="9"/>
      <c r="B27">
        <v>66015</v>
      </c>
      <c r="C27" s="9">
        <v>43383</v>
      </c>
      <c r="D27" t="s">
        <v>104</v>
      </c>
      <c r="E27">
        <v>8010</v>
      </c>
      <c r="F27">
        <v>104</v>
      </c>
      <c r="H27">
        <v>140</v>
      </c>
      <c r="I27">
        <v>1680</v>
      </c>
    </row>
    <row r="28" spans="1:9" x14ac:dyDescent="0.2">
      <c r="A28" s="9"/>
      <c r="B28">
        <v>66017</v>
      </c>
      <c r="C28" s="9">
        <v>43386</v>
      </c>
      <c r="D28" t="s">
        <v>104</v>
      </c>
      <c r="E28">
        <v>8010</v>
      </c>
      <c r="F28">
        <v>103</v>
      </c>
      <c r="H28">
        <v>140</v>
      </c>
      <c r="I28">
        <v>1680</v>
      </c>
    </row>
    <row r="29" spans="1:9" x14ac:dyDescent="0.2">
      <c r="A29" s="9"/>
      <c r="B29">
        <v>66017</v>
      </c>
      <c r="C29" s="9">
        <v>43386</v>
      </c>
      <c r="D29" t="s">
        <v>111</v>
      </c>
      <c r="E29">
        <v>8010</v>
      </c>
      <c r="F29">
        <v>104</v>
      </c>
      <c r="H29">
        <v>140</v>
      </c>
      <c r="I29">
        <v>1680</v>
      </c>
    </row>
    <row r="30" spans="1:9" x14ac:dyDescent="0.2">
      <c r="A30" s="9"/>
      <c r="B30">
        <v>66016</v>
      </c>
      <c r="C30" s="9">
        <v>43387</v>
      </c>
      <c r="D30" t="s">
        <v>113</v>
      </c>
      <c r="E30">
        <v>8020</v>
      </c>
      <c r="F30">
        <v>103</v>
      </c>
      <c r="H30">
        <v>120</v>
      </c>
      <c r="I30">
        <v>1440</v>
      </c>
    </row>
    <row r="31" spans="1:9" x14ac:dyDescent="0.2">
      <c r="A31" s="9"/>
      <c r="B31">
        <v>66016</v>
      </c>
      <c r="C31" s="9">
        <v>43387</v>
      </c>
      <c r="D31" t="s">
        <v>113</v>
      </c>
      <c r="E31">
        <v>8020</v>
      </c>
      <c r="F31">
        <v>104</v>
      </c>
      <c r="H31">
        <v>130</v>
      </c>
      <c r="I31">
        <v>1560</v>
      </c>
    </row>
    <row r="32" spans="1:9" x14ac:dyDescent="0.2">
      <c r="A32" s="9"/>
      <c r="B32">
        <v>66016</v>
      </c>
      <c r="C32" s="9">
        <v>43387</v>
      </c>
      <c r="D32" t="s">
        <v>108</v>
      </c>
      <c r="E32">
        <v>8020</v>
      </c>
      <c r="F32">
        <v>105</v>
      </c>
      <c r="H32">
        <v>120</v>
      </c>
      <c r="I32">
        <v>1200</v>
      </c>
    </row>
    <row r="33" spans="1:9" x14ac:dyDescent="0.2">
      <c r="A33" s="9"/>
      <c r="B33">
        <v>68097</v>
      </c>
      <c r="C33" s="9">
        <v>43390</v>
      </c>
      <c r="D33" t="s">
        <v>110</v>
      </c>
      <c r="E33">
        <v>8010</v>
      </c>
      <c r="F33">
        <v>104</v>
      </c>
      <c r="H33">
        <v>140</v>
      </c>
      <c r="I33">
        <v>1680</v>
      </c>
    </row>
    <row r="34" spans="1:9" x14ac:dyDescent="0.2">
      <c r="A34" s="9"/>
      <c r="B34">
        <v>68097</v>
      </c>
      <c r="C34" s="9">
        <v>43390</v>
      </c>
      <c r="D34" t="s">
        <v>108</v>
      </c>
      <c r="E34">
        <v>8010</v>
      </c>
      <c r="F34">
        <v>105</v>
      </c>
      <c r="H34">
        <v>130</v>
      </c>
      <c r="I34">
        <v>1300</v>
      </c>
    </row>
    <row r="35" spans="1:9" x14ac:dyDescent="0.2">
      <c r="A35" s="9"/>
      <c r="B35">
        <v>68099</v>
      </c>
      <c r="C35" s="9">
        <v>43390</v>
      </c>
      <c r="D35" t="s">
        <v>107</v>
      </c>
      <c r="E35">
        <v>8020</v>
      </c>
      <c r="F35">
        <v>104</v>
      </c>
      <c r="H35">
        <v>120</v>
      </c>
      <c r="I35">
        <v>1440</v>
      </c>
    </row>
    <row r="36" spans="1:9" x14ac:dyDescent="0.2">
      <c r="A36" s="9"/>
      <c r="B36">
        <v>68099</v>
      </c>
      <c r="C36" s="9">
        <v>43390</v>
      </c>
      <c r="D36" t="s">
        <v>108</v>
      </c>
      <c r="E36">
        <v>8020</v>
      </c>
      <c r="F36">
        <v>105</v>
      </c>
      <c r="G36">
        <v>2</v>
      </c>
      <c r="H36">
        <v>140</v>
      </c>
      <c r="I36">
        <v>1400</v>
      </c>
    </row>
    <row r="37" spans="1:9" x14ac:dyDescent="0.2">
      <c r="A37" s="9"/>
      <c r="B37">
        <v>68099</v>
      </c>
      <c r="C37" s="9">
        <v>43390</v>
      </c>
      <c r="D37" t="s">
        <v>110</v>
      </c>
      <c r="E37">
        <v>8020</v>
      </c>
      <c r="F37">
        <v>107</v>
      </c>
      <c r="H37">
        <v>170</v>
      </c>
      <c r="I37">
        <v>850</v>
      </c>
    </row>
    <row r="38" spans="1:9" x14ac:dyDescent="0.2">
      <c r="A38" s="9"/>
      <c r="B38">
        <v>68101</v>
      </c>
      <c r="C38" s="9">
        <v>43390</v>
      </c>
      <c r="D38" t="s">
        <v>113</v>
      </c>
      <c r="E38">
        <v>8010</v>
      </c>
      <c r="F38">
        <v>104</v>
      </c>
      <c r="H38">
        <v>190</v>
      </c>
      <c r="I38">
        <v>2280</v>
      </c>
    </row>
    <row r="39" spans="1:9" x14ac:dyDescent="0.2">
      <c r="A39" s="9"/>
      <c r="B39">
        <v>68101</v>
      </c>
      <c r="C39" s="9">
        <v>43390</v>
      </c>
      <c r="D39" t="s">
        <v>114</v>
      </c>
      <c r="E39">
        <v>8010</v>
      </c>
      <c r="F39">
        <v>105</v>
      </c>
      <c r="H39">
        <v>140</v>
      </c>
      <c r="I39">
        <v>1400</v>
      </c>
    </row>
    <row r="40" spans="1:9" x14ac:dyDescent="0.2">
      <c r="A40" s="9"/>
      <c r="B40">
        <v>65627</v>
      </c>
      <c r="C40" s="9">
        <v>43394</v>
      </c>
      <c r="D40" t="s">
        <v>107</v>
      </c>
      <c r="E40">
        <v>8020</v>
      </c>
      <c r="F40">
        <v>103</v>
      </c>
      <c r="H40">
        <v>140</v>
      </c>
      <c r="I40">
        <v>1680</v>
      </c>
    </row>
    <row r="41" spans="1:9" x14ac:dyDescent="0.2">
      <c r="A41" s="9"/>
      <c r="B41">
        <v>65627</v>
      </c>
      <c r="C41" s="9">
        <v>43394</v>
      </c>
      <c r="D41" t="s">
        <v>114</v>
      </c>
      <c r="E41">
        <v>8020</v>
      </c>
      <c r="F41">
        <v>104</v>
      </c>
      <c r="G41">
        <v>3</v>
      </c>
      <c r="H41">
        <v>160</v>
      </c>
      <c r="I41">
        <v>1920</v>
      </c>
    </row>
    <row r="42" spans="1:9" x14ac:dyDescent="0.2">
      <c r="A42" s="9"/>
      <c r="B42">
        <v>65629</v>
      </c>
      <c r="C42" s="9">
        <v>43394</v>
      </c>
      <c r="D42" t="s">
        <v>108</v>
      </c>
      <c r="E42">
        <v>8010</v>
      </c>
      <c r="F42">
        <v>103</v>
      </c>
      <c r="H42">
        <v>190</v>
      </c>
      <c r="I42">
        <v>2280</v>
      </c>
    </row>
    <row r="43" spans="1:9" x14ac:dyDescent="0.2">
      <c r="A43" s="9"/>
      <c r="B43">
        <v>65629</v>
      </c>
      <c r="C43" s="9">
        <v>43394</v>
      </c>
      <c r="D43" t="s">
        <v>114</v>
      </c>
      <c r="E43">
        <v>8010</v>
      </c>
      <c r="F43">
        <v>104</v>
      </c>
      <c r="H43">
        <v>130</v>
      </c>
      <c r="I43">
        <v>1560</v>
      </c>
    </row>
    <row r="44" spans="1:9" x14ac:dyDescent="0.2">
      <c r="A44" s="9"/>
      <c r="B44">
        <v>65629</v>
      </c>
      <c r="C44" s="9">
        <v>43394</v>
      </c>
      <c r="D44" t="s">
        <v>110</v>
      </c>
      <c r="E44">
        <v>8010</v>
      </c>
      <c r="F44">
        <v>105</v>
      </c>
      <c r="H44">
        <v>140</v>
      </c>
      <c r="I44">
        <v>1400</v>
      </c>
    </row>
    <row r="45" spans="1:9" x14ac:dyDescent="0.2">
      <c r="A45" s="9"/>
      <c r="B45">
        <v>65631</v>
      </c>
      <c r="C45" s="9">
        <v>43394</v>
      </c>
      <c r="D45" t="s">
        <v>104</v>
      </c>
      <c r="E45">
        <v>8020</v>
      </c>
      <c r="F45">
        <v>107</v>
      </c>
      <c r="H45">
        <v>190</v>
      </c>
      <c r="I45">
        <v>950</v>
      </c>
    </row>
    <row r="46" spans="1:9" x14ac:dyDescent="0.2">
      <c r="A46" s="9"/>
      <c r="B46">
        <v>65631</v>
      </c>
      <c r="C46" s="9">
        <v>43394</v>
      </c>
      <c r="D46" t="s">
        <v>109</v>
      </c>
      <c r="E46">
        <v>8020</v>
      </c>
      <c r="F46">
        <v>103</v>
      </c>
      <c r="H46">
        <v>120</v>
      </c>
      <c r="I46">
        <v>1440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vt:lpstr>
      <vt:lpstr>Start</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Abhihek Pandey</dc:creator>
  <dc:description>Example tool made to demonstrate some key VBA concepts from my online VBA course on Udemy.com</dc:description>
  <cp:lastModifiedBy>hd</cp:lastModifiedBy>
  <dcterms:created xsi:type="dcterms:W3CDTF">2017-10-02T07:41:32Z</dcterms:created>
  <dcterms:modified xsi:type="dcterms:W3CDTF">2022-11-13T16:30:10Z</dcterms:modified>
</cp:coreProperties>
</file>
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Sales Regional\"/>
    </mc:Choice>
  </mc:AlternateContent>
  <xr:revisionPtr revIDLastSave="0" documentId="13_ncr:1_{6345BF9D-8981-40AC-A13B-93925FB4936B}" xr6:coauthVersionLast="47" xr6:coauthVersionMax="47" xr10:uidLastSave="{00000000-0000-0000-0000-000000000000}"/>
  <bookViews>
    <workbookView xWindow="-110" yWindow="-110" windowWidth="19420" windowHeight="10420" xr2:uid="{36BABD7C-2A82-4BEB-90DD-66BFB89FDD7C}"/>
  </bookViews>
  <sheets>
    <sheet name="Start" sheetId="6" r:id="rId1"/>
    <sheet name="Summary" sheetId="1" state="veryHidden" r:id="rId2"/>
    <sheet name="RegionTemp" sheetId="9" r:id="rId3"/>
    <sheet name="Map" sheetId="7" state="veryHidden" r:id="rId4"/>
    <sheet name="New Data" sheetId="4" state="veryHidden" r:id="rId5"/>
    <sheet name="Instructions" sheetId="10" r:id="rId6"/>
  </sheets>
  <externalReferences>
    <externalReference r:id="rId7"/>
  </externalReferences>
  <definedNames>
    <definedName name="_xlnm._FilterDatabase" localSheetId="1" hidden="1">Summary!$A$1:$H$1</definedName>
    <definedName name="MRegion" localSheetId="5">[1]Map!$G$9:$G$10</definedName>
    <definedName name="MRegion" localSheetId="2">[1]Map!$G$9:$G$10</definedName>
    <definedName name="MRegion">Map!$G$9:$G$10</definedName>
    <definedName name="Slicer_Company_Name">#N/A</definedName>
  </definedNames>
  <calcPr calcId="191029" calcMode="manual"/>
  <pivotCaches>
    <pivotCache cacheId="7"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 i="9" l="1"/>
  <c r="I4" i="9"/>
  <c r="I5" i="9"/>
  <c r="I6" i="9"/>
  <c r="I7" i="9"/>
  <c r="I8" i="9"/>
  <c r="I9" i="9"/>
  <c r="I10" i="9"/>
  <c r="I11" i="9"/>
  <c r="I12" i="9"/>
  <c r="I13" i="9"/>
  <c r="I14" i="9"/>
  <c r="I15" i="9"/>
  <c r="I16" i="9"/>
  <c r="I17" i="9"/>
  <c r="I18" i="9"/>
  <c r="I19" i="9"/>
  <c r="I20" i="9"/>
  <c r="I21" i="9"/>
  <c r="I22" i="9"/>
  <c r="J3" i="9"/>
  <c r="J4" i="9"/>
  <c r="J5" i="9"/>
  <c r="J6" i="9"/>
  <c r="J7" i="9"/>
  <c r="J8" i="9"/>
  <c r="J9" i="9"/>
  <c r="J10" i="9"/>
  <c r="J11" i="9"/>
  <c r="J12" i="9"/>
  <c r="J13" i="9"/>
  <c r="J14" i="9"/>
  <c r="J15" i="9"/>
  <c r="J16" i="9"/>
  <c r="J17" i="9"/>
  <c r="J18" i="9"/>
  <c r="J19" i="9"/>
  <c r="J20" i="9"/>
  <c r="J21" i="9"/>
  <c r="J22" i="9"/>
  <c r="K3" i="9"/>
  <c r="K4" i="9"/>
  <c r="K5" i="9"/>
  <c r="K6" i="9"/>
  <c r="K7" i="9"/>
  <c r="K8" i="9"/>
  <c r="K9" i="9"/>
  <c r="K10" i="9"/>
  <c r="K11" i="9"/>
  <c r="K12" i="9"/>
  <c r="K13" i="9"/>
  <c r="K14" i="9"/>
  <c r="K15" i="9"/>
  <c r="K16" i="9"/>
  <c r="K17" i="9"/>
  <c r="K18" i="9"/>
  <c r="K19" i="9"/>
  <c r="K20" i="9"/>
  <c r="K21" i="9"/>
  <c r="K22" i="9"/>
  <c r="L3" i="9"/>
  <c r="L4" i="9"/>
  <c r="L5" i="9"/>
  <c r="L6" i="9"/>
  <c r="L7" i="9"/>
  <c r="L8" i="9"/>
  <c r="L9" i="9"/>
  <c r="L10" i="9"/>
  <c r="L11" i="9"/>
  <c r="L12" i="9"/>
  <c r="L13" i="9"/>
  <c r="L14" i="9"/>
  <c r="L15" i="9"/>
  <c r="L16" i="9"/>
  <c r="L17" i="9"/>
  <c r="L18" i="9"/>
  <c r="L19" i="9"/>
  <c r="L20" i="9"/>
  <c r="L21" i="9"/>
  <c r="L22" i="9"/>
  <c r="M3" i="9"/>
  <c r="M4" i="9"/>
  <c r="M5" i="9"/>
  <c r="M6" i="9"/>
  <c r="M7" i="9"/>
  <c r="M8" i="9"/>
  <c r="M9" i="9"/>
  <c r="M10" i="9"/>
  <c r="M11" i="9"/>
  <c r="M12" i="9"/>
  <c r="M13" i="9"/>
  <c r="M14" i="9"/>
  <c r="M15" i="9"/>
  <c r="M16" i="9"/>
  <c r="M17" i="9"/>
  <c r="M18" i="9"/>
  <c r="M19" i="9"/>
  <c r="M20" i="9"/>
  <c r="M21" i="9"/>
  <c r="M22" i="9"/>
  <c r="K2" i="9" l="1"/>
  <c r="L2" i="9" l="1"/>
  <c r="M2" i="9" s="1"/>
  <c r="J2" i="9"/>
  <c r="I2" i="9"/>
</calcChain>
</file>

<file path=xl/sharedStrings.xml><?xml version="1.0" encoding="utf-8"?>
<sst xmlns="http://schemas.openxmlformats.org/spreadsheetml/2006/main" count="228" uniqueCount="123">
  <si>
    <t>Company ID</t>
  </si>
  <si>
    <t>Sales Document</t>
  </si>
  <si>
    <t>Document Date</t>
  </si>
  <si>
    <t>Customer code</t>
  </si>
  <si>
    <t>Article code</t>
  </si>
  <si>
    <t>Reject</t>
  </si>
  <si>
    <t>Quantity</t>
  </si>
  <si>
    <t>Sales Value</t>
  </si>
  <si>
    <t>Monthly Sales Reporting Data Preparation Template</t>
  </si>
  <si>
    <t>Pandey Creations</t>
  </si>
  <si>
    <t>Master Data &amp;</t>
  </si>
  <si>
    <t>Mapping Table</t>
  </si>
  <si>
    <t>Company Mapping</t>
  </si>
  <si>
    <t>Company code</t>
  </si>
  <si>
    <t>Company Name</t>
  </si>
  <si>
    <t>Currency</t>
  </si>
  <si>
    <t>Region</t>
  </si>
  <si>
    <t>Regions</t>
  </si>
  <si>
    <t>1010US</t>
  </si>
  <si>
    <t>Urban Right</t>
  </si>
  <si>
    <t>USD</t>
  </si>
  <si>
    <t>America</t>
  </si>
  <si>
    <t>1020US</t>
  </si>
  <si>
    <t>Meta Creations</t>
  </si>
  <si>
    <t>Europe</t>
  </si>
  <si>
    <t>1030AT</t>
  </si>
  <si>
    <t>Bere Kleid</t>
  </si>
  <si>
    <t>EUR</t>
  </si>
  <si>
    <t>1040DE</t>
  </si>
  <si>
    <t>Lucas Basics</t>
  </si>
  <si>
    <t>Ship to Party Mapping</t>
  </si>
  <si>
    <t>Customer Name</t>
  </si>
  <si>
    <t>Dellicia</t>
  </si>
  <si>
    <t>Erma</t>
  </si>
  <si>
    <t>Edson</t>
  </si>
  <si>
    <t>Werner Strauss</t>
  </si>
  <si>
    <t>Aida GmbH</t>
  </si>
  <si>
    <t>Liebher</t>
  </si>
  <si>
    <t>Article Number Mapping</t>
  </si>
  <si>
    <t>Description</t>
  </si>
  <si>
    <t>Men type T simple white</t>
  </si>
  <si>
    <t>Men type T simple black</t>
  </si>
  <si>
    <t>Women type T simple white</t>
  </si>
  <si>
    <t>Women type T simple black</t>
  </si>
  <si>
    <t>Women crop top black</t>
  </si>
  <si>
    <t>Men basics</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</si>
  <si>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</si>
  <si>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</si>
  <si>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</si>
  <si>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</si>
  <si>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</si>
  <si>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</si>
  <si>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</si>
  <si>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</si>
  <si>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</si>
  <si>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</si>
  <si>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</si>
  <si>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</si>
  <si>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</si>
  <si>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</si>
  <si>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Average monthly exchange rates</t>
  </si>
  <si>
    <t>Month</t>
  </si>
  <si>
    <t>EUR to $</t>
  </si>
  <si>
    <t>Internal code</t>
  </si>
  <si>
    <t/>
  </si>
  <si>
    <t>Sales Local Currency</t>
  </si>
  <si>
    <t>Article Description</t>
  </si>
  <si>
    <t>Sales US Dollar</t>
  </si>
  <si>
    <t>Regional Sales by Customer</t>
  </si>
  <si>
    <t>Company</t>
  </si>
  <si>
    <t>Customer Code</t>
  </si>
  <si>
    <t>Article Overview by Company</t>
  </si>
  <si>
    <t>Regional Overview</t>
  </si>
  <si>
    <t>Row Labels</t>
  </si>
  <si>
    <t>Sales in US Dollar</t>
  </si>
  <si>
    <t xml:space="preserve"> Quantity</t>
  </si>
  <si>
    <t>Customer</t>
  </si>
  <si>
    <t>$ Sales</t>
  </si>
  <si>
    <t xml:space="preserve"> </t>
  </si>
  <si>
    <t>Article</t>
  </si>
  <si>
    <t xml:space="preserve">Quantity </t>
  </si>
  <si>
    <t xml:space="preserve">Reject </t>
  </si>
  <si>
    <t xml:space="preserve">Reject % </t>
  </si>
  <si>
    <t>Total</t>
  </si>
  <si>
    <t>Tasks Completed</t>
  </si>
  <si>
    <t>Erma Total</t>
  </si>
  <si>
    <t>Dellicia Total</t>
  </si>
  <si>
    <t>Meta Creations Total</t>
  </si>
  <si>
    <t>M110</t>
  </si>
  <si>
    <t>M120</t>
  </si>
  <si>
    <t>M180</t>
  </si>
  <si>
    <t>M170</t>
  </si>
  <si>
    <t>M150</t>
  </si>
  <si>
    <t>M190</t>
  </si>
  <si>
    <t>M130</t>
  </si>
  <si>
    <t>M200</t>
  </si>
  <si>
    <t>Imagine this Situation…</t>
  </si>
  <si>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</si>
  <si>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</si>
  <si>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</si>
  <si>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 Based on this data, you need to create the following Monthly Reports:</t>
  </si>
  <si>
    <t>• An interactive Pivot based regional report for the regional managers of USA and Europe</t>
  </si>
  <si>
    <t>• A hard coded regional overview report for top management</t>
  </si>
  <si>
    <t>- In addition to this, you need to generate a CSV file of all the data to be loaded to your central ERP system for year-to-date reporting.</t>
  </si>
  <si>
    <t>Your Challenge</t>
  </si>
  <si>
    <t>1. There are two USA and two European companies. You need to get all the information in one place.</t>
  </si>
  <si>
    <t>2. The data extract you receive uses codes. The managers want to see the description and not the code.</t>
  </si>
  <si>
    <t>3. You need to combine the data for each region and create a separate Excel report for it.</t>
  </si>
  <si>
    <t>4. Regional managers would like to have Pivot based reports so they can slice and dice through the information (macro free workbook).</t>
  </si>
  <si>
    <t>5. Top management would like to have a one-pager report that is hardcoded (macro free workbook).</t>
  </si>
  <si>
    <t>6. You need to split each region to its own file. European Regional managers should not see the US data</t>
  </si>
  <si>
    <t>7. You need to get all the data in CSV format and save it on the directory.</t>
  </si>
  <si>
    <t xml:space="preserve">8. Since these are a lot of tasks, and data for each company might come in at different points, you'd like to keep track </t>
  </si>
  <si>
    <t>of which tasks you've already completed.</t>
  </si>
  <si>
    <t>Aim of the tool</t>
  </si>
  <si>
    <t xml:space="preserve">There is a lot of copying, pasting, looking up values from master data (i.e. mapping codes to get descriptions). </t>
  </si>
  <si>
    <t>All of this will cost you a lot of time if done manually (possibly around 3 hours - plus data changes are not uncommon)</t>
  </si>
  <si>
    <t>Sometimes you have to repeat the whole process because wrong data was sent;</t>
  </si>
  <si>
    <t>… and sometimes you might make mistakes…. (after all the task is a bit boring…)</t>
  </si>
  <si>
    <t>The tool should automate the entire process to 2 minutes - even with data changes.</t>
  </si>
  <si>
    <r>
      <t>Time savings:</t>
    </r>
    <r>
      <rPr>
        <sz val="11"/>
        <color rgb="FF92D050"/>
        <rFont val="Calibri"/>
        <family val="2"/>
        <scheme val="minor"/>
      </rPr>
      <t xml:space="preserve"> 3 plus hours</t>
    </r>
  </si>
  <si>
    <r>
      <t xml:space="preserve">Frustration because data was updated after sending (you had to repeat the process): </t>
    </r>
    <r>
      <rPr>
        <sz val="11"/>
        <color rgb="FF92D050"/>
        <rFont val="Calibri"/>
        <family val="2"/>
        <scheme val="minor"/>
      </rPr>
      <t>Eliminated</t>
    </r>
  </si>
  <si>
    <r>
      <t xml:space="preserve">Possibility of manual mistakes due to boredom: </t>
    </r>
    <r>
      <rPr>
        <sz val="11"/>
        <color rgb="FF92D050"/>
        <rFont val="Calibri"/>
        <family val="2"/>
        <scheme val="minor"/>
      </rPr>
      <t>Eliminated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</si>
</sst>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0"/>
    <numFmt numFmtId="165" formatCode="0.0%"/>
  </numFmts>
  <fonts count="17" x14ac:knownFonts="1">
    <font>
      <sz val="11"/>
      <color theme="1"/>
      <name val="Calibri"/>
      <family val="2"/>
      <scheme val="minor"/>
    </font>
    <font>
      <b/>
      <sz val="10"/>
      <color indexed="9"/>
      <name val="Calibri"/>
      <family val="2"/>
      <scheme val="minor"/>
    </font>
    <font>
      <sz val="14"/>
      <color rgb="FF262626"/>
      <name val="Arial"/>
      <family val="2"/>
    </font>
    <font>
      <sz val="20"/>
      <color rgb="FF000000"/>
      <name val="Matura MT Script Capitals"/>
      <family val="4"/>
    </font>
    <font>
      <sz val="11"/>
      <color rgb="FF000000"/>
      <name val="Calibri"/>
      <family val="2"/>
    </font>
    <font>
      <b/>
      <sz val="11"/>
      <color theme="0"/>
      <name val="Calibri"/>
      <family val="2"/>
      <scheme val="minor"/>
    </font>
    <font>
      <sz val="10"/>
      <color theme="1"/>
      <name val="Calibri"/>
      <family val="2"/>
      <scheme val="minor"/>
    </font>
    <font>
      <b/>
      <sz val="11"/>
      <name val="Calibri"/>
      <family val="2"/>
      <scheme val="minor"/>
    </font>
    <font>
      <sz val="8"/>
      <color theme="1"/>
      <name val="Arial"/>
      <family val="2"/>
    </font>
    <font>
      <b/>
      <sz val="10"/>
      <color theme="0"/>
      <name val="Calibri"/>
      <family val="2"/>
      <scheme val="minor"/>
    </font>
    <font>
      <sz val="10"/>
      <color theme="0"/>
      <name val="Calibri"/>
      <family val="2"/>
      <scheme val="minor"/>
    </font>
    <font>
      <b/>
      <sz val="10"/>
      <color theme="1"/>
      <name val="Calibri"/>
      <family val="2"/>
      <scheme val="minor"/>
    </font>
    <font>
      <sz val="10"/>
      <color rgb="FF000000"/>
      <name val="Arial"/>
      <family val="2"/>
    </font>
    <font>
      <sz val="11"/>
      <color theme="1"/>
      <name val="Calibri"/>
      <family val="2"/>
      <scheme val="minor"/>
    </font>
    <font>
      <b/>
      <sz val="14"/>
      <color theme="1"/>
      <name val="Calibri"/>
      <family val="2"/>
      <scheme val="minor"/>
    </font>
    <font>
      <sz val="10"/>
      <color theme="8" tint="-0.249977111117893"/>
      <name val="Calibri"/>
      <family val="2"/>
      <scheme val="minor"/>
    </font>
    <font>
      <sz val="11"/>
      <color rgb="FF92D050"/>
      <name val="Calibri"/>
      <family val="2"/>
      <scheme val="minor"/>
    </font>
  </fonts>
  <fills count="9">
    <fill>
      <patternFill patternType="none"/>
    </fill>
    <fill>
      <patternFill patternType="gray125"/>
    </fill>
    <fill>
      <patternFill patternType="solid">
        <fgColor theme="9" tint="-0.249977111117893"/>
        <bgColor indexed="64"/>
      </patternFill>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0"/>
        <bgColor indexed="64"/>
      </patternFill>
    </fill>
  </fills>
  <borders count="9">
    <border>
      <left/>
      <right/>
      <top/>
      <bottom/>
      <diagonal/>
    </border>
    <border>
      <left/>
      <right/>
      <top/>
      <bottom style="thin">
        <color indexed="64"/>
      </bottom>
      <diagonal/>
    </border>
    <border>
      <left/>
      <right/>
      <top/>
      <bottom style="thin">
        <color theme="0" tint="-0.14996795556505021"/>
      </bottom>
      <diagonal/>
    </border>
    <border>
      <left/>
      <right style="thin">
        <color theme="0" tint="-0.24994659260841701"/>
      </right>
      <top/>
      <bottom/>
      <diagonal/>
    </border>
    <border>
      <left/>
      <right style="thin">
        <color theme="0" tint="-0.499984740745262"/>
      </right>
      <top/>
      <bottom/>
      <diagonal/>
    </border>
    <border>
      <left/>
      <right/>
      <top/>
      <bottom style="medium">
        <color theme="1" tint="0.34998626667073579"/>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s>
  <cellStyleXfs count="2">
    <xf numFmtId="0" fontId="0" fillId="0" borderId="0"/>
    <xf numFmtId="0" fontId="6" fillId="0" borderId="0"/>
  </cellStyleXfs>
  <cellXfs count="57">
    <xf numFmtId="0" fontId="0" fillId="0" borderId="0" xfId="0"/>
    <xf numFmtId="14" fontId="0" fillId="0" borderId="0" xfId="0" applyNumberFormat="1"/>
    <xf numFmtId="0" fontId="1" fillId="2" borderId="0" xfId="0" applyFont="1" applyFill="1" applyAlignment="1">
      <alignment horizontal="center" vertical="center" wrapText="1"/>
    </xf>
    <xf numFmtId="0" fontId="2" fillId="0" borderId="0" xfId="0" applyFont="1"/>
    <xf numFmtId="0" fontId="3" fillId="0" borderId="0" xfId="0" applyFont="1"/>
    <xf numFmtId="0" fontId="6" fillId="3" borderId="0" xfId="1" applyFill="1"/>
    <xf numFmtId="0" fontId="6" fillId="0" borderId="0" xfId="1"/>
    <xf numFmtId="0" fontId="5" fillId="3" borderId="0" xfId="1" applyFont="1" applyFill="1"/>
    <xf numFmtId="0" fontId="6" fillId="0" borderId="1" xfId="1" applyBorder="1"/>
    <xf numFmtId="49" fontId="7" fillId="4" borderId="0" xfId="1" applyNumberFormat="1" applyFont="1" applyFill="1" applyAlignment="1">
      <alignment horizontal="left" vertical="center" wrapText="1"/>
    </xf>
    <xf numFmtId="0" fontId="5" fillId="5" borderId="2" xfId="1" applyFont="1" applyFill="1" applyBorder="1" applyAlignment="1" applyProtection="1">
      <alignment horizontal="center" vertical="center" wrapText="1"/>
      <protection locked="0"/>
    </xf>
    <xf numFmtId="0" fontId="8" fillId="0" borderId="0" xfId="1" applyFont="1"/>
    <xf numFmtId="0" fontId="1" fillId="6" borderId="0" xfId="1" applyFont="1" applyFill="1" applyAlignment="1">
      <alignment horizontal="center" vertical="center" wrapText="1"/>
    </xf>
    <xf numFmtId="0" fontId="6" fillId="7" borderId="0" xfId="1" applyFill="1"/>
    <xf numFmtId="0" fontId="9" fillId="7" borderId="0" xfId="1" applyFont="1" applyFill="1" applyAlignment="1">
      <alignment horizontal="left" vertical="center"/>
    </xf>
    <xf numFmtId="0" fontId="9" fillId="7" borderId="0" xfId="1" applyFont="1" applyFill="1"/>
    <xf numFmtId="0" fontId="9" fillId="7" borderId="0" xfId="1" applyFont="1" applyFill="1" applyAlignment="1">
      <alignment horizontal="center" vertical="center"/>
    </xf>
    <xf numFmtId="0" fontId="9" fillId="0" borderId="0" xfId="1" applyFont="1"/>
    <xf numFmtId="0" fontId="10" fillId="7" borderId="0" xfId="1" applyFont="1" applyFill="1"/>
    <xf numFmtId="2" fontId="6" fillId="0" borderId="0" xfId="1" applyNumberFormat="1"/>
    <xf numFmtId="0" fontId="6" fillId="0" borderId="3" xfId="1" applyBorder="1"/>
    <xf numFmtId="0" fontId="6" fillId="0" borderId="4" xfId="1" applyBorder="1"/>
    <xf numFmtId="0" fontId="6" fillId="0" borderId="0" xfId="1" applyNumberFormat="1" applyFont="1" applyProtection="1"/>
    <xf numFmtId="2" fontId="6" fillId="0" borderId="0" xfId="1" applyNumberFormat="1" applyFont="1" applyProtection="1"/>
    <xf numFmtId="0" fontId="0" fillId="0" borderId="0" xfId="0" pivotButton="1"/>
    <xf numFmtId="164" fontId="0" fillId="0" borderId="0" xfId="0" applyNumberFormat="1"/>
    <xf numFmtId="9" fontId="0" fillId="0" borderId="0" xfId="0" applyNumberFormat="1"/>
    <xf numFmtId="0" fontId="0" fillId="0" borderId="0" xfId="0" applyAlignment="1">
      <alignment horizontal="right"/>
    </xf>
    <xf numFmtId="0" fontId="0" fillId="0" borderId="0" xfId="0" applyNumberFormat="1"/>
    <xf numFmtId="3" fontId="0" fillId="0" borderId="0" xfId="0" applyNumberFormat="1"/>
    <xf numFmtId="1" fontId="0" fillId="0" borderId="0" xfId="0" applyNumberFormat="1"/>
    <xf numFmtId="165" fontId="0" fillId="0" borderId="0" xfId="0" applyNumberFormat="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center"/>
    </xf>
    <xf numFmtId="0" fontId="1" fillId="2" borderId="0" xfId="1" applyNumberFormat="1" applyFont="1" applyFill="1" applyAlignment="1">
      <alignment horizontal="center" vertical="center" wrapText="1"/>
    </xf>
    <xf numFmtId="0" fontId="1" fillId="2" borderId="0" xfId="1" applyNumberFormat="1" applyFont="1" applyFill="1" applyAlignment="1" applyProtection="1">
      <alignment horizontal="center" vertical="center" wrapText="1"/>
    </xf>
    <xf numFmtId="14" fontId="1" fillId="2" borderId="0" xfId="1" applyNumberFormat="1" applyFont="1" applyFill="1" applyAlignment="1" applyProtection="1">
      <alignment horizontal="center" vertical="center" wrapText="1"/>
    </xf>
    <xf numFmtId="0" fontId="1" fillId="2" borderId="0" xfId="1" applyFont="1" applyFill="1" applyAlignment="1">
      <alignment horizontal="center" vertical="center" wrapText="1"/>
    </xf>
    <xf numFmtId="0" fontId="11" fillId="0" borderId="5" xfId="0" applyFont="1" applyBorder="1"/>
    <xf numFmtId="0" fontId="0" fillId="0" borderId="5" xfId="0" applyBorder="1"/>
    <xf numFmtId="0" fontId="0" fillId="0" borderId="0" xfId="0" applyProtection="1">
      <protection locked="0"/>
    </xf>
    <xf numFmtId="0" fontId="6" fillId="6" borderId="0" xfId="1" applyFill="1"/>
    <xf numFmtId="0" fontId="6" fillId="8" borderId="2" xfId="1" applyFill="1" applyBorder="1"/>
    <xf numFmtId="0" fontId="14" fillId="8" borderId="6" xfId="1" quotePrefix="1" applyFont="1" applyFill="1" applyBorder="1"/>
    <xf numFmtId="0" fontId="14" fillId="8" borderId="6" xfId="1" applyFont="1" applyFill="1" applyBorder="1"/>
    <xf numFmtId="0" fontId="6" fillId="8" borderId="6" xfId="1" applyFill="1" applyBorder="1"/>
    <xf numFmtId="0" fontId="6" fillId="8" borderId="6" xfId="1" quotePrefix="1" applyFill="1" applyBorder="1"/>
    <xf numFmtId="0" fontId="6" fillId="8" borderId="6" xfId="1" applyFill="1" applyBorder="1" applyAlignment="1">
      <alignment horizontal="left" indent="2"/>
    </xf>
    <xf numFmtId="0" fontId="6" fillId="8" borderId="7" xfId="1" applyFill="1" applyBorder="1"/>
    <xf numFmtId="0" fontId="6" fillId="8" borderId="2" xfId="1" quotePrefix="1" applyFill="1" applyBorder="1"/>
    <xf numFmtId="0" fontId="6" fillId="8" borderId="6" xfId="1" applyFill="1" applyBorder="1" applyAlignment="1">
      <alignment horizontal="left" indent="1"/>
    </xf>
    <xf numFmtId="0" fontId="6" fillId="8" borderId="0" xfId="1" applyFill="1"/>
    <xf numFmtId="0" fontId="15" fillId="8" borderId="6" xfId="1" applyFont="1" applyFill="1" applyBorder="1"/>
    <xf numFmtId="0" fontId="13" fillId="8" borderId="6" xfId="1" applyFont="1" applyFill="1" applyBorder="1"/>
    <xf numFmtId="0" fontId="6" fillId="8" borderId="8" xfId="1" applyFill="1" applyBorder="1"/>
  </cellXfs>
  <cellStyles count="2">
    <cellStyle name="Normal" xfId="0" builtinId="0"/>
    <cellStyle name="Normal 2" xfId="1" xr:uid="{73BDD50A-961D-48E5-A80C-7FE1CB53672E}"/>
  </cellStyles>
  <dxfs count="51">
    <dxf>
      <font>
        <b val="0"/>
        <i val="0"/>
        <strike val="0"/>
        <condense val="0"/>
        <extend val="0"/>
        <outline val="0"/>
        <shadow val="0"/>
        <u val="none"/>
        <vertAlign val="baseline"/>
        <sz val="8"/>
        <color theme="1"/>
        <name val="Arial"/>
        <family val="2"/>
        <scheme val="none"/>
      </font>
    </dxf>
    <dxf>
      <border outline="0">
        <bottom style="medium">
          <color indexed="64"/>
        </bottom>
      </border>
    </dxf>
    <dxf>
      <font>
        <b val="0"/>
        <i val="0"/>
        <strike val="0"/>
        <condense val="0"/>
        <extend val="0"/>
        <outline val="0"/>
        <shadow val="0"/>
        <u val="none"/>
        <vertAlign val="baseline"/>
        <sz val="10"/>
        <color theme="1"/>
        <name val="Calibri"/>
        <family val="2"/>
        <scheme val="minor"/>
      </font>
      <numFmt numFmtId="2" formatCode="0.00"/>
      <protection locked="1" hidden="0"/>
    </dxf>
    <dxf>
      <font>
        <b val="0"/>
        <i val="0"/>
        <strike val="0"/>
        <condense val="0"/>
        <extend val="0"/>
        <outline val="0"/>
        <shadow val="0"/>
        <u val="none"/>
        <vertAlign val="baseline"/>
        <sz val="10"/>
        <color theme="1"/>
        <name val="Calibri"/>
        <family val="2"/>
        <scheme val="minor"/>
      </font>
      <numFmt numFmtId="0" formatCode="General"/>
      <protection locked="1" hidden="0"/>
    </dxf>
    <dxf>
      <font>
        <b val="0"/>
        <i val="0"/>
        <strike val="0"/>
        <condense val="0"/>
        <extend val="0"/>
        <outline val="0"/>
        <shadow val="0"/>
        <u val="none"/>
        <vertAlign val="baseline"/>
        <sz val="10"/>
        <color theme="1"/>
        <name val="Calibri"/>
        <family val="2"/>
        <scheme val="minor"/>
      </font>
      <numFmt numFmtId="0" formatCode="General"/>
      <protection locked="1" hidden="0"/>
    </dxf>
    <dxf>
      <font>
        <b val="0"/>
        <i val="0"/>
        <strike val="0"/>
        <condense val="0"/>
        <extend val="0"/>
        <outline val="0"/>
        <shadow val="0"/>
        <u val="none"/>
        <vertAlign val="baseline"/>
        <sz val="10"/>
        <color theme="1"/>
        <name val="Calibri"/>
        <family val="2"/>
        <scheme val="minor"/>
      </font>
      <numFmt numFmtId="0" formatCode="General"/>
      <protection locked="1" hidden="0"/>
    </dxf>
    <dxf>
      <font>
        <b val="0"/>
        <i val="0"/>
        <strike val="0"/>
        <condense val="0"/>
        <extend val="0"/>
        <outline val="0"/>
        <shadow val="0"/>
        <u val="none"/>
        <vertAlign val="baseline"/>
        <sz val="10"/>
        <color theme="1"/>
        <name val="Calibri"/>
        <family val="2"/>
        <scheme val="minor"/>
      </font>
      <numFmt numFmtId="0" formatCode="General"/>
      <protection locked="1" hidden="0"/>
    </dxf>
    <dxf>
      <font>
        <b/>
        <i val="0"/>
        <strike val="0"/>
        <condense val="0"/>
        <extend val="0"/>
        <outline val="0"/>
        <shadow val="0"/>
        <u val="none"/>
        <vertAlign val="baseline"/>
        <sz val="10"/>
        <color indexed="9"/>
        <name val="Calibri"/>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Calibri"/>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Calibri"/>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Calibri"/>
        <family val="2"/>
        <scheme val="minor"/>
      </font>
      <fill>
        <patternFill patternType="solid">
          <fgColor indexed="64"/>
          <bgColor theme="9" tint="-0.249977111117893"/>
        </patternFill>
      </fill>
      <alignment horizontal="center" vertical="center" textRotation="0" wrapText="1" indent="0" justifyLastLine="0" shrinkToFit="0" readingOrder="0"/>
    </dxf>
    <dxf>
      <font>
        <b/>
        <i val="0"/>
        <strike val="0"/>
        <condense val="0"/>
        <extend val="0"/>
        <outline val="0"/>
        <shadow val="0"/>
        <u val="none"/>
        <vertAlign val="baseline"/>
        <sz val="10"/>
        <color indexed="9"/>
        <name val="Calibri"/>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Calibri"/>
        <family val="2"/>
        <scheme val="minor"/>
      </font>
      <numFmt numFmtId="19" formatCode="m/d/yyyy"/>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Calibri"/>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0"/>
        <color indexed="9"/>
        <name val="Calibri"/>
        <family val="2"/>
        <scheme val="minor"/>
      </font>
      <numFmt numFmtId="0" formatCode="General"/>
      <fill>
        <patternFill patternType="solid">
          <fgColor indexed="64"/>
          <bgColor theme="9" tint="-0.249977111117893"/>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protection locked="1" hidden="0"/>
    </dxf>
    <dxf>
      <font>
        <b/>
        <i val="0"/>
        <strike val="0"/>
        <condense val="0"/>
        <extend val="0"/>
        <outline val="0"/>
        <shadow val="0"/>
        <u val="none"/>
        <vertAlign val="baseline"/>
        <sz val="10"/>
        <color indexed="9"/>
        <name val="Calibri"/>
        <family val="2"/>
        <scheme val="minor"/>
      </font>
      <fill>
        <patternFill patternType="solid">
          <fgColor indexed="64"/>
          <bgColor theme="1" tint="0.34998626667073579"/>
        </patternFill>
      </fill>
      <alignment horizontal="center" vertical="center" textRotation="0" wrapText="1" indent="0" justifyLastLine="0" shrinkToFit="0" readingOrder="0"/>
    </dxf>
    <dxf>
      <alignment horizontal="right"/>
    </dxf>
    <dxf>
      <numFmt numFmtId="13" formatCode="0%"/>
    </dxf>
    <dxf>
      <numFmt numFmtId="14" formatCode="0.00%"/>
    </dxf>
    <dxf>
      <alignment horizontal="right"/>
    </dxf>
    <dxf>
      <alignment horizontal="right"/>
    </dxf>
    <dxf>
      <alignment horizontal="right"/>
    </dxf>
    <dxf>
      <alignment horizontal="right"/>
    </dxf>
    <dxf>
      <numFmt numFmtId="1" formatCode="0"/>
    </dxf>
    <dxf>
      <numFmt numFmtId="3" formatCode="#,##0"/>
    </dxf>
    <dxf>
      <numFmt numFmtId="0" formatCode="General"/>
    </dxf>
    <dxf>
      <alignment horizontal="right"/>
    </dxf>
    <dxf>
      <alignment horizontal="right"/>
    </dxf>
    <dxf>
      <alignment horizontal="right"/>
    </dxf>
    <dxf>
      <alignment horizontal="general"/>
    </dxf>
    <dxf>
      <numFmt numFmtId="165" formatCode="0.0%"/>
    </dxf>
    <dxf>
      <numFmt numFmtId="14" formatCode="0.00%"/>
    </dxf>
    <dxf>
      <alignment horizontal="right"/>
    </dxf>
    <dxf>
      <alignment horizontal="right"/>
    </dxf>
    <dxf>
      <alignment horizontal="center"/>
    </dxf>
    <dxf>
      <alignment horizontal="cent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TableStyle="TableStyleMedium2" defaultPivotStyle="PivotStyleLight16">
    <tableStyle name="MyPivotStyle" table="0" count="11" xr9:uid="{85F66294-6989-4614-B872-DC47F40328C5}">
      <tableStyleElement type="wholeTable" dxfId="50"/>
      <tableStyleElement type="headerRow" dxfId="49"/>
      <tableStyleElement type="totalRow" dxfId="48"/>
      <tableStyleElement type="firstRowStripe" dxfId="47"/>
      <tableStyleElement type="firstColumnStripe" dxfId="46"/>
      <tableStyleElement type="firstSubtotalRow" dxfId="45"/>
      <tableStyleElement type="secondSubtotalRow" dxfId="44"/>
      <tableStyleElement type="firstRowSubheading" dxfId="43"/>
      <tableStyleElement type="secondRowSubheading" dxfId="42"/>
      <tableStyleElement type="pageFieldLabels" dxfId="41"/>
      <tableStyleElement type="pageFieldValues" dxfId="40"/>
    </tableStyle>
    <tableStyle name="MySlicer" pivot="0" table="0" count="10" xr9:uid="{5F9F7B33-9A9D-4B58-AEBA-6A3A477CC879}">
      <tableStyleElement type="wholeTable" dxfId="39"/>
      <tableStyleElement type="headerRow" dxfId="38"/>
    </tableStyle>
    <tableStyle name="Table Style 1" pivot="0" count="1" xr9:uid="{F5319BDA-284F-4200-8828-07EE43BB8F97}">
      <tableStyleElement type="wholeTable" dxfId="3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[Monthly_Sales_Report_Template_Tool.xlsm]RegionTemp!PTRegion</c:name>
    <c:fmtId val="1"/>
  </c:pivotSource>
  <c:chart>
    <c:autoTitleDeleted val="0"/>
    <c:pivotFmts>
      <c:pivotFmt>
        <c:idx val="0"/>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85503112063978"/>
          <c:y val="6.1819357760127938E-2"/>
          <c:w val="0.57060194665745445"/>
          <c:h val="0.87636101345027562"/>
        </c:manualLayout>
      </c:layout>
      <c:barChart>
        <c:barDir val="bar"/>
        <c:grouping val="clustered"/>
        <c:varyColors val="0"/>
        <c:ser>
          <c:idx val="0"/>
          <c:order val="0"/>
          <c:tx>
            <c:strRef>
              <c:f>RegionTemp!$T$5</c:f>
              <c:strCache>
                <c:ptCount val="1"/>
                <c:pt idx="0">
                  <c:v>$ Sales</c:v>
                </c:pt>
              </c:strCache>
            </c:strRef>
          </c:tx>
          <c:spPr>
            <a:solidFill>
              <a:schemeClr val="bg2">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RegionTemp!$S$6:$S$8</c:f>
              <c:strCache>
                <c:ptCount val="2"/>
                <c:pt idx="0">
                  <c:v>Erma</c:v>
                </c:pt>
                <c:pt idx="1">
                  <c:v>Dellicia</c:v>
                </c:pt>
              </c:strCache>
            </c:strRef>
          </c:cat>
          <c:val>
            <c:numRef>
              <c:f>RegionTemp!$T$6:$T$8</c:f>
              <c:numCache>
                <c:formatCode>"$"#,##0</c:formatCode>
                <c:ptCount val="2"/>
                <c:pt idx="0">
                  <c:v>14620</c:v>
                </c:pt>
                <c:pt idx="1">
                  <c:v>5020</c:v>
                </c:pt>
              </c:numCache>
            </c:numRef>
          </c:val>
          <c:extLst>
            <c:ext xmlns:c16="http://schemas.microsoft.com/office/drawing/2014/chart" uri="{C3380CC4-5D6E-409C-BE32-E72D297353CC}">
              <c16:uniqueId val="{00000000-C8B8-4F96-B043-A9A035262710}"/>
            </c:ext>
          </c:extLst>
        </c:ser>
        <c:dLbls>
          <c:showLegendKey val="0"/>
          <c:showVal val="0"/>
          <c:showCatName val="0"/>
          <c:showSerName val="0"/>
          <c:showPercent val="0"/>
          <c:showBubbleSize val="0"/>
        </c:dLbls>
        <c:gapWidth val="80"/>
        <c:axId val="996850144"/>
        <c:axId val="996852112"/>
      </c:barChart>
      <c:barChart>
        <c:barDir val="bar"/>
        <c:grouping val="clustered"/>
        <c:varyColors val="0"/>
        <c:ser>
          <c:idx val="1"/>
          <c:order val="1"/>
          <c:tx>
            <c:strRef>
              <c:f>RegionTemp!$U$5</c:f>
              <c:strCache>
                <c:ptCount val="1"/>
                <c:pt idx="0">
                  <c:v> </c:v>
                </c:pt>
              </c:strCache>
            </c:strRef>
          </c:tx>
          <c:spPr>
            <a:solidFill>
              <a:schemeClr val="accent2"/>
            </a:solidFill>
            <a:ln>
              <a:noFill/>
            </a:ln>
            <a:effectLst/>
          </c:spPr>
          <c:invertIfNegative val="0"/>
          <c:cat>
            <c:strRef>
              <c:f>RegionTemp!$S$6:$S$8</c:f>
              <c:strCache>
                <c:ptCount val="2"/>
                <c:pt idx="0">
                  <c:v>Erma</c:v>
                </c:pt>
                <c:pt idx="1">
                  <c:v>Dellicia</c:v>
                </c:pt>
              </c:strCache>
            </c:strRef>
          </c:cat>
          <c:val>
            <c:numRef>
              <c:f>RegionTemp!$U$6:$U$8</c:f>
              <c:numCache>
                <c:formatCode>0%</c:formatCode>
                <c:ptCount val="2"/>
                <c:pt idx="0">
                  <c:v>0.74439918533604887</c:v>
                </c:pt>
                <c:pt idx="1">
                  <c:v>0.25560081466395113</c:v>
                </c:pt>
              </c:numCache>
            </c:numRef>
          </c:val>
          <c:extLst>
            <c:ext xmlns:c16="http://schemas.microsoft.com/office/drawing/2014/chart" uri="{C3380CC4-5D6E-409C-BE32-E72D297353CC}">
              <c16:uniqueId val="{00000001-C8B8-4F96-B043-A9A035262710}"/>
            </c:ext>
          </c:extLst>
        </c:ser>
        <c:dLbls>
          <c:showLegendKey val="0"/>
          <c:showVal val="0"/>
          <c:showCatName val="0"/>
          <c:showSerName val="0"/>
          <c:showPercent val="0"/>
          <c:showBubbleSize val="0"/>
        </c:dLbls>
        <c:gapWidth val="80"/>
        <c:axId val="1004671952"/>
        <c:axId val="1004670640"/>
      </c:barChart>
      <c:catAx>
        <c:axId val="99685014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996852112"/>
        <c:crosses val="autoZero"/>
        <c:auto val="1"/>
        <c:lblAlgn val="ctr"/>
        <c:lblOffset val="100"/>
        <c:noMultiLvlLbl val="0"/>
      </c:catAx>
      <c:valAx>
        <c:axId val="996852112"/>
        <c:scaling>
          <c:orientation val="minMax"/>
        </c:scaling>
        <c:delete val="1"/>
        <c:axPos val="t"/>
        <c:numFmt formatCode="&quot;$&quot;#,##0" sourceLinked="1"/>
        <c:majorTickMark val="none"/>
        <c:minorTickMark val="none"/>
        <c:tickLblPos val="nextTo"/>
        <c:crossAx val="996850144"/>
        <c:crosses val="autoZero"/>
        <c:crossBetween val="between"/>
      </c:valAx>
      <c:valAx>
        <c:axId val="1004670640"/>
        <c:scaling>
          <c:orientation val="minMax"/>
        </c:scaling>
        <c:delete val="1"/>
        <c:axPos val="b"/>
        <c:numFmt formatCode="0%" sourceLinked="1"/>
        <c:majorTickMark val="out"/>
        <c:minorTickMark val="none"/>
        <c:tickLblPos val="nextTo"/>
        <c:crossAx val="1004671952"/>
        <c:crosses val="autoZero"/>
        <c:crossBetween val="between"/>
      </c:valAx>
      <c:catAx>
        <c:axId val="1004671952"/>
        <c:scaling>
          <c:orientation val="minMax"/>
        </c:scaling>
        <c:delete val="1"/>
        <c:axPos val="l"/>
        <c:numFmt formatCode="General" sourceLinked="1"/>
        <c:majorTickMark val="out"/>
        <c:minorTickMark val="none"/>
        <c:tickLblPos val="nextTo"/>
        <c:crossAx val="1004670640"/>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82550</xdr:colOff>
          <xdr:row>13</xdr:row>
          <xdr:rowOff>6350</xdr:rowOff>
        </xdr:from>
        <xdr:to>
          <xdr:col>9</xdr:col>
          <xdr:colOff>209550</xdr:colOff>
          <xdr:row>14</xdr:row>
          <xdr:rowOff>69850</xdr:rowOff>
        </xdr:to>
        <xdr:sp macro="" textlink="">
          <xdr:nvSpPr>
            <xdr:cNvPr id="1027" name="AxRegi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311150</xdr:colOff>
      <xdr:row>3</xdr:row>
      <xdr:rowOff>266700</xdr:rowOff>
    </xdr:from>
    <xdr:to>
      <xdr:col>4</xdr:col>
      <xdr:colOff>5774</xdr:colOff>
      <xdr:row>10</xdr:row>
      <xdr:rowOff>18763</xdr:rowOff>
    </xdr:to>
    <xdr:sp macro="" textlink="">
      <xdr:nvSpPr>
        <xdr:cNvPr id="7" name="Rectangle: Top Corners One Rounded and One Snipped 6">
          <a:extLst>
            <a:ext uri="{FF2B5EF4-FFF2-40B4-BE49-F238E27FC236}">
              <a16:creationId xmlns:a16="http://schemas.microsoft.com/office/drawing/2014/main" id="{00000000-0008-0000-0000-000007000000}"/>
            </a:ext>
          </a:extLst>
        </xdr:cNvPr>
        <xdr:cNvSpPr/>
      </xdr:nvSpPr>
      <xdr:spPr>
        <a:xfrm>
          <a:off x="311150" y="488950"/>
          <a:ext cx="2133024" cy="1123663"/>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50"/>
            <a:t>Import Sales data from Sales</a:t>
          </a:r>
          <a:r>
            <a:rPr lang="en-US" sz="1050" baseline="0"/>
            <a:t> Document templates for one or more companies in one go</a:t>
          </a:r>
          <a:r>
            <a:rPr lang="en-US" sz="900" baseline="0"/>
            <a:t>. </a:t>
          </a:r>
          <a:r>
            <a:rPr lang="en-US" sz="900" b="0" i="1" baseline="0"/>
            <a:t>(Note: Browse and find the files - file name starts with "Sales_Document_xxx") </a:t>
          </a:r>
          <a:r>
            <a:rPr lang="en-US" sz="900" b="0" i="1"/>
            <a:t> </a:t>
          </a:r>
        </a:p>
      </xdr:txBody>
    </xdr:sp>
    <xdr:clientData/>
  </xdr:twoCellAnchor>
  <xdr:twoCellAnchor editAs="oneCell">
    <xdr:from>
      <xdr:col>6</xdr:col>
      <xdr:colOff>50800</xdr:colOff>
      <xdr:row>3</xdr:row>
      <xdr:rowOff>273050</xdr:rowOff>
    </xdr:from>
    <xdr:to>
      <xdr:col>9</xdr:col>
      <xdr:colOff>366568</xdr:colOff>
      <xdr:row>10</xdr:row>
      <xdr:rowOff>9236</xdr:rowOff>
    </xdr:to>
    <xdr:sp macro="" textlink="">
      <xdr:nvSpPr>
        <xdr:cNvPr id="8" name="Rectangle: Top Corners One Rounded and One Snipped 7">
          <a:extLst>
            <a:ext uri="{FF2B5EF4-FFF2-40B4-BE49-F238E27FC236}">
              <a16:creationId xmlns:a16="http://schemas.microsoft.com/office/drawing/2014/main" id="{00000000-0008-0000-0000-000008000000}"/>
            </a:ext>
          </a:extLst>
        </xdr:cNvPr>
        <xdr:cNvSpPr/>
      </xdr:nvSpPr>
      <xdr:spPr>
        <a:xfrm>
          <a:off x="3708400" y="495300"/>
          <a:ext cx="2144568" cy="1114136"/>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Generate</a:t>
          </a:r>
          <a:r>
            <a:rPr lang="en-US" sz="1050" baseline="0">
              <a:solidFill>
                <a:schemeClr val="lt1"/>
              </a:solidFill>
              <a:latin typeface="+mn-lt"/>
              <a:ea typeface="+mn-ea"/>
              <a:cs typeface="+mn-cs"/>
            </a:rPr>
            <a:t> the Regional &amp; Manager Reports for each region. </a:t>
          </a:r>
          <a:r>
            <a:rPr lang="en-US" sz="1050" i="1" baseline="0">
              <a:solidFill>
                <a:schemeClr val="lt1"/>
              </a:solidFill>
              <a:latin typeface="+mn-lt"/>
              <a:ea typeface="+mn-ea"/>
              <a:cs typeface="+mn-cs"/>
            </a:rPr>
            <a:t>(Create a pivot based Excel file for Regional managers and a hardcoded file for Top managers)</a:t>
          </a:r>
          <a:endParaRPr lang="en-US" sz="1050" i="1">
            <a:solidFill>
              <a:schemeClr val="lt1"/>
            </a:solidFill>
            <a:latin typeface="+mn-lt"/>
            <a:ea typeface="+mn-ea"/>
            <a:cs typeface="+mn-cs"/>
          </a:endParaRPr>
        </a:p>
      </xdr:txBody>
    </xdr:sp>
    <xdr:clientData/>
  </xdr:twoCellAnchor>
  <xdr:twoCellAnchor editAs="oneCell">
    <xdr:from>
      <xdr:col>11</xdr:col>
      <xdr:colOff>342900</xdr:colOff>
      <xdr:row>3</xdr:row>
      <xdr:rowOff>152400</xdr:rowOff>
    </xdr:from>
    <xdr:to>
      <xdr:col>14</xdr:col>
      <xdr:colOff>354156</xdr:colOff>
      <xdr:row>9</xdr:row>
      <xdr:rowOff>178956</xdr:rowOff>
    </xdr:to>
    <xdr:sp macro="" textlink="">
      <xdr:nvSpPr>
        <xdr:cNvPr id="9" name="Rectangle: Top Corners One Rounded and One Snipped 8">
          <a:extLst>
            <a:ext uri="{FF2B5EF4-FFF2-40B4-BE49-F238E27FC236}">
              <a16:creationId xmlns:a16="http://schemas.microsoft.com/office/drawing/2014/main" id="{00000000-0008-0000-0000-000009000000}"/>
            </a:ext>
          </a:extLst>
        </xdr:cNvPr>
        <xdr:cNvSpPr/>
      </xdr:nvSpPr>
      <xdr:spPr>
        <a:xfrm>
          <a:off x="7048500" y="977900"/>
          <a:ext cx="1840056" cy="1131456"/>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a:solidFill>
                <a:schemeClr val="lt1"/>
              </a:solidFill>
              <a:latin typeface="+mn-lt"/>
              <a:ea typeface="+mn-ea"/>
              <a:cs typeface="+mn-cs"/>
            </a:rPr>
            <a:t>Create CSV file</a:t>
          </a:r>
          <a:r>
            <a:rPr lang="en-US" sz="1050" baseline="0">
              <a:solidFill>
                <a:schemeClr val="lt1"/>
              </a:solidFill>
              <a:latin typeface="+mn-lt"/>
              <a:ea typeface="+mn-ea"/>
              <a:cs typeface="+mn-cs"/>
            </a:rPr>
            <a:t> of ALL data for the current month to be uploaded to the central system for year-to-date reporting (e.g. SAP)</a:t>
          </a:r>
          <a:endParaRPr lang="en-US" sz="1050">
            <a:solidFill>
              <a:schemeClr val="lt1"/>
            </a:solidFill>
            <a:latin typeface="+mn-lt"/>
            <a:ea typeface="+mn-ea"/>
            <a:cs typeface="+mn-cs"/>
          </a:endParaRPr>
        </a:p>
      </xdr:txBody>
    </xdr:sp>
    <xdr:clientData/>
  </xdr:twoCellAnchor>
  <xdr:twoCellAnchor editAs="oneCell">
    <xdr:from>
      <xdr:col>15</xdr:col>
      <xdr:colOff>330200</xdr:colOff>
      <xdr:row>3</xdr:row>
      <xdr:rowOff>120650</xdr:rowOff>
    </xdr:from>
    <xdr:to>
      <xdr:col>19</xdr:col>
      <xdr:colOff>180686</xdr:colOff>
      <xdr:row>9</xdr:row>
      <xdr:rowOff>147690</xdr:rowOff>
    </xdr:to>
    <xdr:sp macro="" textlink="">
      <xdr:nvSpPr>
        <xdr:cNvPr id="11" name="Rectangle: Top Corners One Rounded and One Snipped 10">
          <a:extLst>
            <a:ext uri="{FF2B5EF4-FFF2-40B4-BE49-F238E27FC236}">
              <a16:creationId xmlns:a16="http://schemas.microsoft.com/office/drawing/2014/main" id="{00000000-0008-0000-0000-00000B000000}"/>
            </a:ext>
          </a:extLst>
        </xdr:cNvPr>
        <xdr:cNvSpPr/>
      </xdr:nvSpPr>
      <xdr:spPr>
        <a:xfrm>
          <a:off x="9474200" y="946150"/>
          <a:ext cx="2288886" cy="1131940"/>
        </a:xfrm>
        <a:prstGeom prst="snipRound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050" baseline="0">
              <a:solidFill>
                <a:schemeClr val="lt1"/>
              </a:solidFill>
              <a:latin typeface="+mn-lt"/>
              <a:ea typeface="+mn-ea"/>
              <a:cs typeface="+mn-cs"/>
            </a:rPr>
            <a:t>Before working on the next month's data, clear values and start fresh. </a:t>
          </a:r>
        </a:p>
        <a:p>
          <a:pPr marL="0" indent="0" algn="l"/>
          <a:r>
            <a:rPr lang="en-US" sz="1050" baseline="0">
              <a:solidFill>
                <a:schemeClr val="lt1"/>
              </a:solidFill>
              <a:latin typeface="+mn-lt"/>
              <a:ea typeface="+mn-ea"/>
              <a:cs typeface="+mn-cs"/>
            </a:rPr>
            <a:t>Admin - opens up the hidden tabs in case problems arise. </a:t>
          </a:r>
          <a:r>
            <a:rPr lang="en-US" sz="900" i="1" baseline="0">
              <a:solidFill>
                <a:schemeClr val="lt1"/>
              </a:solidFill>
              <a:latin typeface="+mn-lt"/>
              <a:ea typeface="+mn-ea"/>
              <a:cs typeface="+mn-cs"/>
            </a:rPr>
            <a:t>(note: password =  me)</a:t>
          </a:r>
          <a:endParaRPr lang="en-US" sz="1050" i="1">
            <a:solidFill>
              <a:schemeClr val="lt1"/>
            </a:solidFill>
            <a:latin typeface="+mn-lt"/>
            <a:ea typeface="+mn-ea"/>
            <a:cs typeface="+mn-cs"/>
          </a:endParaRPr>
        </a:p>
      </xdr:txBody>
    </xdr:sp>
    <xdr:clientData/>
  </xdr:twoCellAnchor>
  <xdr:twoCellAnchor>
    <xdr:from>
      <xdr:col>0</xdr:col>
      <xdr:colOff>63500</xdr:colOff>
      <xdr:row>9</xdr:row>
      <xdr:rowOff>76200</xdr:rowOff>
    </xdr:from>
    <xdr:to>
      <xdr:col>3</xdr:col>
      <xdr:colOff>177800</xdr:colOff>
      <xdr:row>14</xdr:row>
      <xdr:rowOff>20782</xdr:rowOff>
    </xdr:to>
    <xdr:grpSp>
      <xdr:nvGrpSpPr>
        <xdr:cNvPr id="6" name="Group 5">
          <a:extLst>
            <a:ext uri="{FF2B5EF4-FFF2-40B4-BE49-F238E27FC236}">
              <a16:creationId xmlns:a16="http://schemas.microsoft.com/office/drawing/2014/main" id="{FA7EABB1-102B-4809-B667-98CDB3BCD1E7}"/>
            </a:ext>
          </a:extLst>
        </xdr:cNvPr>
        <xdr:cNvGrpSpPr/>
      </xdr:nvGrpSpPr>
      <xdr:grpSpPr>
        <a:xfrm>
          <a:off x="63500" y="2006600"/>
          <a:ext cx="1943100" cy="865332"/>
          <a:chOff x="63500" y="2006600"/>
          <a:chExt cx="1943100" cy="865332"/>
        </a:xfrm>
      </xdr:grpSpPr>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609600" y="2216150"/>
                <a:ext cx="1397000" cy="4762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 Data</a:t>
                </a:r>
              </a:p>
            </xdr:txBody>
          </xdr:sp>
        </mc:Choice>
        <mc:Fallback/>
      </mc:AlternateContent>
      <xdr:pic macro="[0]!Import_sales">
        <xdr:nvPicPr>
          <xdr:cNvPr id="16" name="Graphic 15" descr="Open Folder">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3500" y="2006600"/>
            <a:ext cx="984184" cy="865332"/>
          </a:xfrm>
          <a:prstGeom prst="rect">
            <a:avLst/>
          </a:prstGeom>
        </xdr:spPr>
      </xdr:pic>
    </xdr:grpSp>
    <xdr:clientData/>
  </xdr:twoCellAnchor>
  <xdr:twoCellAnchor>
    <xdr:from>
      <xdr:col>6</xdr:col>
      <xdr:colOff>107950</xdr:colOff>
      <xdr:row>10</xdr:row>
      <xdr:rowOff>120650</xdr:rowOff>
    </xdr:from>
    <xdr:to>
      <xdr:col>9</xdr:col>
      <xdr:colOff>95250</xdr:colOff>
      <xdr:row>14</xdr:row>
      <xdr:rowOff>112107</xdr:rowOff>
    </xdr:to>
    <xdr:grpSp>
      <xdr:nvGrpSpPr>
        <xdr:cNvPr id="5" name="Group 4">
          <a:extLst>
            <a:ext uri="{FF2B5EF4-FFF2-40B4-BE49-F238E27FC236}">
              <a16:creationId xmlns:a16="http://schemas.microsoft.com/office/drawing/2014/main" id="{096CF50C-D25D-4D0B-9212-FE88CA7819E9}"/>
            </a:ext>
          </a:extLst>
        </xdr:cNvPr>
        <xdr:cNvGrpSpPr/>
      </xdr:nvGrpSpPr>
      <xdr:grpSpPr>
        <a:xfrm>
          <a:off x="3765550" y="2235200"/>
          <a:ext cx="1816100" cy="728057"/>
          <a:chOff x="3765550" y="2235200"/>
          <a:chExt cx="1816100" cy="728057"/>
        </a:xfrm>
      </xdr:grpSpPr>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4216400" y="2247900"/>
                <a:ext cx="1365250" cy="38100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Report</a:t>
                </a:r>
              </a:p>
            </xdr:txBody>
          </xdr:sp>
        </mc:Choice>
        <mc:Fallback/>
      </mc:AlternateContent>
      <xdr:sp macro="[0]!Create_Reports" textlink="">
        <xdr:nvSpPr>
          <xdr:cNvPr id="19" name="Freeform: Shape 18">
            <a:extLst>
              <a:ext uri="{FF2B5EF4-FFF2-40B4-BE49-F238E27FC236}">
                <a16:creationId xmlns:a16="http://schemas.microsoft.com/office/drawing/2014/main" id="{00000000-0008-0000-0000-000013000000}"/>
              </a:ext>
            </a:extLst>
          </xdr:cNvPr>
          <xdr:cNvSpPr/>
        </xdr:nvSpPr>
        <xdr:spPr>
          <a:xfrm>
            <a:off x="3848100" y="2235200"/>
            <a:ext cx="464399" cy="723515"/>
          </a:xfrm>
          <a:custGeom>
            <a:avLst/>
            <a:gdLst>
              <a:gd name="connsiteX0" fmla="*/ 373539 w 464399"/>
              <a:gd name="connsiteY0" fmla="*/ 271318 h 723515"/>
              <a:gd name="connsiteX1" fmla="*/ 90861 w 464399"/>
              <a:gd name="connsiteY1" fmla="*/ 271318 h 723515"/>
              <a:gd name="connsiteX2" fmla="*/ 90861 w 464399"/>
              <a:gd name="connsiteY2" fmla="*/ 217055 h 723515"/>
              <a:gd name="connsiteX3" fmla="*/ 373539 w 464399"/>
              <a:gd name="connsiteY3" fmla="*/ 217055 h 723515"/>
              <a:gd name="connsiteX4" fmla="*/ 373539 w 464399"/>
              <a:gd name="connsiteY4" fmla="*/ 271318 h 723515"/>
              <a:gd name="connsiteX5" fmla="*/ 312965 w 464399"/>
              <a:gd name="connsiteY5" fmla="*/ 361758 h 723515"/>
              <a:gd name="connsiteX6" fmla="*/ 156483 w 464399"/>
              <a:gd name="connsiteY6" fmla="*/ 361758 h 723515"/>
              <a:gd name="connsiteX7" fmla="*/ 156483 w 464399"/>
              <a:gd name="connsiteY7" fmla="*/ 325582 h 723515"/>
              <a:gd name="connsiteX8" fmla="*/ 312965 w 464399"/>
              <a:gd name="connsiteY8" fmla="*/ 325582 h 723515"/>
              <a:gd name="connsiteX9" fmla="*/ 312965 w 464399"/>
              <a:gd name="connsiteY9" fmla="*/ 361758 h 723515"/>
              <a:gd name="connsiteX10" fmla="*/ 424017 w 464399"/>
              <a:gd name="connsiteY10" fmla="*/ 0 h 723515"/>
              <a:gd name="connsiteX11" fmla="*/ 0 w 464399"/>
              <a:gd name="connsiteY11" fmla="*/ 1809 h 723515"/>
              <a:gd name="connsiteX12" fmla="*/ 0 w 464399"/>
              <a:gd name="connsiteY12" fmla="*/ 723516 h 723515"/>
              <a:gd name="connsiteX13" fmla="*/ 424017 w 464399"/>
              <a:gd name="connsiteY13" fmla="*/ 723516 h 723515"/>
              <a:gd name="connsiteX14" fmla="*/ 464400 w 464399"/>
              <a:gd name="connsiteY14" fmla="*/ 687340 h 723515"/>
              <a:gd name="connsiteX15" fmla="*/ 464400 w 464399"/>
              <a:gd name="connsiteY15" fmla="*/ 36176 h 723515"/>
              <a:gd name="connsiteX16" fmla="*/ 424017 w 464399"/>
              <a:gd name="connsiteY16" fmla="*/ 0 h 7235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464399" h="723515">
                <a:moveTo>
                  <a:pt x="373539" y="271318"/>
                </a:moveTo>
                <a:lnTo>
                  <a:pt x="90861" y="271318"/>
                </a:lnTo>
                <a:lnTo>
                  <a:pt x="90861" y="217055"/>
                </a:lnTo>
                <a:lnTo>
                  <a:pt x="373539" y="217055"/>
                </a:lnTo>
                <a:lnTo>
                  <a:pt x="373539" y="271318"/>
                </a:lnTo>
                <a:close/>
                <a:moveTo>
                  <a:pt x="312965" y="361758"/>
                </a:moveTo>
                <a:lnTo>
                  <a:pt x="156483" y="361758"/>
                </a:lnTo>
                <a:lnTo>
                  <a:pt x="156483" y="325582"/>
                </a:lnTo>
                <a:lnTo>
                  <a:pt x="312965" y="325582"/>
                </a:lnTo>
                <a:lnTo>
                  <a:pt x="312965" y="361758"/>
                </a:lnTo>
                <a:close/>
                <a:moveTo>
                  <a:pt x="424017" y="0"/>
                </a:moveTo>
                <a:lnTo>
                  <a:pt x="0" y="1809"/>
                </a:lnTo>
                <a:lnTo>
                  <a:pt x="0" y="723516"/>
                </a:lnTo>
                <a:lnTo>
                  <a:pt x="424017" y="723516"/>
                </a:lnTo>
                <a:cubicBezTo>
                  <a:pt x="446228" y="723516"/>
                  <a:pt x="464400" y="707237"/>
                  <a:pt x="464400" y="687340"/>
                </a:cubicBezTo>
                <a:lnTo>
                  <a:pt x="464400" y="36176"/>
                </a:lnTo>
                <a:cubicBezTo>
                  <a:pt x="464400" y="16279"/>
                  <a:pt x="446228" y="0"/>
                  <a:pt x="424017" y="0"/>
                </a:cubicBezTo>
                <a:close/>
              </a:path>
            </a:pathLst>
          </a:custGeom>
          <a:solidFill>
            <a:schemeClr val="tx2">
              <a:lumMod val="75000"/>
            </a:schemeClr>
          </a:solidFill>
          <a:ln w="10021" cap="flat">
            <a:noFill/>
            <a:prstDash val="solid"/>
            <a:miter/>
          </a:ln>
        </xdr:spPr>
        <xdr:txBody>
          <a:bodyPr rtlCol="0" anchor="ctr"/>
          <a:lstStyle/>
          <a:p>
            <a:endParaRPr lang="en-US"/>
          </a:p>
        </xdr:txBody>
      </xdr:sp>
      <xdr:sp macro="[0]!Create_Reports" textlink="">
        <xdr:nvSpPr>
          <xdr:cNvPr id="20" name="Freeform: Shape 19">
            <a:extLst>
              <a:ext uri="{FF2B5EF4-FFF2-40B4-BE49-F238E27FC236}">
                <a16:creationId xmlns:a16="http://schemas.microsoft.com/office/drawing/2014/main" id="{00000000-0008-0000-0000-000014000000}"/>
              </a:ext>
            </a:extLst>
          </xdr:cNvPr>
          <xdr:cNvSpPr/>
        </xdr:nvSpPr>
        <xdr:spPr>
          <a:xfrm>
            <a:off x="3765550" y="2241550"/>
            <a:ext cx="60573" cy="721707"/>
          </a:xfrm>
          <a:custGeom>
            <a:avLst/>
            <a:gdLst>
              <a:gd name="connsiteX0" fmla="*/ 0 w 60573"/>
              <a:gd name="connsiteY0" fmla="*/ 0 h 721707"/>
              <a:gd name="connsiteX1" fmla="*/ 60574 w 60573"/>
              <a:gd name="connsiteY1" fmla="*/ 0 h 721707"/>
              <a:gd name="connsiteX2" fmla="*/ 60574 w 60573"/>
              <a:gd name="connsiteY2" fmla="*/ 721707 h 721707"/>
              <a:gd name="connsiteX3" fmla="*/ 0 w 60573"/>
              <a:gd name="connsiteY3" fmla="*/ 721707 h 721707"/>
            </a:gdLst>
            <a:ahLst/>
            <a:cxnLst>
              <a:cxn ang="0">
                <a:pos x="connsiteX0" y="connsiteY0"/>
              </a:cxn>
              <a:cxn ang="0">
                <a:pos x="connsiteX1" y="connsiteY1"/>
              </a:cxn>
              <a:cxn ang="0">
                <a:pos x="connsiteX2" y="connsiteY2"/>
              </a:cxn>
              <a:cxn ang="0">
                <a:pos x="connsiteX3" y="connsiteY3"/>
              </a:cxn>
            </a:cxnLst>
            <a:rect l="l" t="t" r="r" b="b"/>
            <a:pathLst>
              <a:path w="60573" h="721707">
                <a:moveTo>
                  <a:pt x="0" y="0"/>
                </a:moveTo>
                <a:lnTo>
                  <a:pt x="60574" y="0"/>
                </a:lnTo>
                <a:lnTo>
                  <a:pt x="60574" y="721707"/>
                </a:lnTo>
                <a:lnTo>
                  <a:pt x="0" y="721707"/>
                </a:lnTo>
                <a:close/>
              </a:path>
            </a:pathLst>
          </a:custGeom>
          <a:solidFill>
            <a:schemeClr val="tx2">
              <a:lumMod val="75000"/>
            </a:schemeClr>
          </a:solidFill>
          <a:ln w="10021" cap="flat">
            <a:noFill/>
            <a:prstDash val="solid"/>
            <a:miter/>
          </a:ln>
        </xdr:spPr>
        <xdr:txBody>
          <a:bodyPr rtlCol="0" anchor="ctr"/>
          <a:lstStyle/>
          <a:p>
            <a:endParaRPr lang="en-US"/>
          </a:p>
        </xdr:txBody>
      </xdr:sp>
    </xdr:grpSp>
    <xdr:clientData/>
  </xdr:twoCellAnchor>
  <xdr:twoCellAnchor>
    <xdr:from>
      <xdr:col>11</xdr:col>
      <xdr:colOff>0</xdr:colOff>
      <xdr:row>10</xdr:row>
      <xdr:rowOff>76200</xdr:rowOff>
    </xdr:from>
    <xdr:to>
      <xdr:col>14</xdr:col>
      <xdr:colOff>177800</xdr:colOff>
      <xdr:row>14</xdr:row>
      <xdr:rowOff>82550</xdr:rowOff>
    </xdr:to>
    <xdr:grpSp>
      <xdr:nvGrpSpPr>
        <xdr:cNvPr id="4" name="Group 3">
          <a:extLst>
            <a:ext uri="{FF2B5EF4-FFF2-40B4-BE49-F238E27FC236}">
              <a16:creationId xmlns:a16="http://schemas.microsoft.com/office/drawing/2014/main" id="{0AB4DD52-8923-4B19-B2CA-EEC326BA3973}"/>
            </a:ext>
          </a:extLst>
        </xdr:cNvPr>
        <xdr:cNvGrpSpPr/>
      </xdr:nvGrpSpPr>
      <xdr:grpSpPr>
        <a:xfrm>
          <a:off x="6705600" y="2190750"/>
          <a:ext cx="2006600" cy="742950"/>
          <a:chOff x="6705600" y="2190750"/>
          <a:chExt cx="2006600" cy="742950"/>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7251700" y="2190750"/>
                <a:ext cx="1460500" cy="41275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CSV</a:t>
                </a:r>
              </a:p>
            </xdr:txBody>
          </xdr:sp>
        </mc:Choice>
        <mc:Fallback/>
      </mc:AlternateContent>
      <xdr:sp macro="[0]!Create_CSV" textlink="">
        <xdr:nvSpPr>
          <xdr:cNvPr id="22" name="Graphic 24" descr="Hammer">
            <a:extLst>
              <a:ext uri="{FF2B5EF4-FFF2-40B4-BE49-F238E27FC236}">
                <a16:creationId xmlns:a16="http://schemas.microsoft.com/office/drawing/2014/main" id="{00000000-0008-0000-0000-000016000000}"/>
              </a:ext>
            </a:extLst>
          </xdr:cNvPr>
          <xdr:cNvSpPr/>
        </xdr:nvSpPr>
        <xdr:spPr>
          <a:xfrm>
            <a:off x="6705600" y="2197100"/>
            <a:ext cx="856502" cy="736600"/>
          </a:xfrm>
          <a:custGeom>
            <a:avLst/>
            <a:gdLst>
              <a:gd name="connsiteX0" fmla="*/ 849686 w 856502"/>
              <a:gd name="connsiteY0" fmla="*/ 230536 h 717088"/>
              <a:gd name="connsiteX1" fmla="*/ 812678 w 856502"/>
              <a:gd name="connsiteY1" fmla="*/ 195792 h 717088"/>
              <a:gd name="connsiteX2" fmla="*/ 782488 w 856502"/>
              <a:gd name="connsiteY2" fmla="*/ 194878 h 717088"/>
              <a:gd name="connsiteX3" fmla="*/ 753272 w 856502"/>
              <a:gd name="connsiteY3" fmla="*/ 195792 h 717088"/>
              <a:gd name="connsiteX4" fmla="*/ 753272 w 856502"/>
              <a:gd name="connsiteY4" fmla="*/ 165620 h 717088"/>
              <a:gd name="connsiteX5" fmla="*/ 752298 w 856502"/>
              <a:gd name="connsiteY5" fmla="*/ 138190 h 717088"/>
              <a:gd name="connsiteX6" fmla="*/ 661727 w 856502"/>
              <a:gd name="connsiteY6" fmla="*/ 54073 h 717088"/>
              <a:gd name="connsiteX7" fmla="*/ 390987 w 856502"/>
              <a:gd name="connsiteY7" fmla="*/ 12929 h 717088"/>
              <a:gd name="connsiteX8" fmla="*/ 388066 w 856502"/>
              <a:gd name="connsiteY8" fmla="*/ 13843 h 717088"/>
              <a:gd name="connsiteX9" fmla="*/ 382222 w 856502"/>
              <a:gd name="connsiteY9" fmla="*/ 24815 h 717088"/>
              <a:gd name="connsiteX10" fmla="*/ 390987 w 856502"/>
              <a:gd name="connsiteY10" fmla="*/ 34873 h 717088"/>
              <a:gd name="connsiteX11" fmla="*/ 429943 w 856502"/>
              <a:gd name="connsiteY11" fmla="*/ 46759 h 717088"/>
              <a:gd name="connsiteX12" fmla="*/ 556547 w 856502"/>
              <a:gd name="connsiteY12" fmla="*/ 153734 h 717088"/>
              <a:gd name="connsiteX13" fmla="*/ 275095 w 856502"/>
              <a:gd name="connsiteY13" fmla="*/ 416142 h 717088"/>
              <a:gd name="connsiteX14" fmla="*/ 267304 w 856502"/>
              <a:gd name="connsiteY14" fmla="*/ 408827 h 717088"/>
              <a:gd name="connsiteX15" fmla="*/ 237114 w 856502"/>
              <a:gd name="connsiteY15" fmla="*/ 408827 h 717088"/>
              <a:gd name="connsiteX16" fmla="*/ 11173 w 856502"/>
              <a:gd name="connsiteY16" fmla="*/ 621863 h 717088"/>
              <a:gd name="connsiteX17" fmla="*/ 12147 w 856502"/>
              <a:gd name="connsiteY17" fmla="*/ 622777 h 717088"/>
              <a:gd name="connsiteX18" fmla="*/ 18964 w 856502"/>
              <a:gd name="connsiteY18" fmla="*/ 699579 h 717088"/>
              <a:gd name="connsiteX19" fmla="*/ 100770 w 856502"/>
              <a:gd name="connsiteY19" fmla="*/ 705980 h 717088"/>
              <a:gd name="connsiteX20" fmla="*/ 101744 w 856502"/>
              <a:gd name="connsiteY20" fmla="*/ 706894 h 717088"/>
              <a:gd name="connsiteX21" fmla="*/ 328659 w 856502"/>
              <a:gd name="connsiteY21" fmla="*/ 493859 h 717088"/>
              <a:gd name="connsiteX22" fmla="*/ 328659 w 856502"/>
              <a:gd name="connsiteY22" fmla="*/ 465515 h 717088"/>
              <a:gd name="connsiteX23" fmla="*/ 320868 w 856502"/>
              <a:gd name="connsiteY23" fmla="*/ 458200 h 717088"/>
              <a:gd name="connsiteX24" fmla="*/ 600372 w 856502"/>
              <a:gd name="connsiteY24" fmla="*/ 195792 h 717088"/>
              <a:gd name="connsiteX25" fmla="*/ 645171 w 856502"/>
              <a:gd name="connsiteY25" fmla="*/ 237850 h 717088"/>
              <a:gd name="connsiteX26" fmla="*/ 675361 w 856502"/>
              <a:gd name="connsiteY26" fmla="*/ 238765 h 717088"/>
              <a:gd name="connsiteX27" fmla="*/ 704577 w 856502"/>
              <a:gd name="connsiteY27" fmla="*/ 237850 h 717088"/>
              <a:gd name="connsiteX28" fmla="*/ 704577 w 856502"/>
              <a:gd name="connsiteY28" fmla="*/ 268023 h 717088"/>
              <a:gd name="connsiteX29" fmla="*/ 705551 w 856502"/>
              <a:gd name="connsiteY29" fmla="*/ 295452 h 717088"/>
              <a:gd name="connsiteX30" fmla="*/ 743533 w 856502"/>
              <a:gd name="connsiteY30" fmla="*/ 330196 h 717088"/>
              <a:gd name="connsiteX31" fmla="*/ 774697 w 856502"/>
              <a:gd name="connsiteY31" fmla="*/ 330196 h 717088"/>
              <a:gd name="connsiteX32" fmla="*/ 849686 w 856502"/>
              <a:gd name="connsiteY32" fmla="*/ 259794 h 717088"/>
              <a:gd name="connsiteX33" fmla="*/ 856503 w 856502"/>
              <a:gd name="connsiteY33" fmla="*/ 245165 h 717088"/>
              <a:gd name="connsiteX34" fmla="*/ 849686 w 856502"/>
              <a:gd name="connsiteY34" fmla="*/ 230536 h 717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Lst>
            <a:rect l="l" t="t" r="r" b="b"/>
            <a:pathLst>
              <a:path w="856502" h="717088">
                <a:moveTo>
                  <a:pt x="849686" y="230536"/>
                </a:moveTo>
                <a:lnTo>
                  <a:pt x="812678" y="195792"/>
                </a:lnTo>
                <a:cubicBezTo>
                  <a:pt x="803913" y="187563"/>
                  <a:pt x="791253" y="187563"/>
                  <a:pt x="782488" y="194878"/>
                </a:cubicBezTo>
                <a:cubicBezTo>
                  <a:pt x="774697" y="202192"/>
                  <a:pt x="762036" y="203106"/>
                  <a:pt x="753272" y="195792"/>
                </a:cubicBezTo>
                <a:cubicBezTo>
                  <a:pt x="744507" y="187563"/>
                  <a:pt x="744507" y="173848"/>
                  <a:pt x="753272" y="165620"/>
                </a:cubicBezTo>
                <a:cubicBezTo>
                  <a:pt x="761063" y="157391"/>
                  <a:pt x="760089" y="145505"/>
                  <a:pt x="752298" y="138190"/>
                </a:cubicBezTo>
                <a:lnTo>
                  <a:pt x="661727" y="54073"/>
                </a:lnTo>
                <a:cubicBezTo>
                  <a:pt x="607189" y="2872"/>
                  <a:pt x="498114" y="-14500"/>
                  <a:pt x="390987" y="12929"/>
                </a:cubicBezTo>
                <a:cubicBezTo>
                  <a:pt x="390013" y="12929"/>
                  <a:pt x="389039" y="13843"/>
                  <a:pt x="388066" y="13843"/>
                </a:cubicBezTo>
                <a:cubicBezTo>
                  <a:pt x="384170" y="16586"/>
                  <a:pt x="381248" y="20244"/>
                  <a:pt x="382222" y="24815"/>
                </a:cubicBezTo>
                <a:cubicBezTo>
                  <a:pt x="383196" y="29387"/>
                  <a:pt x="386118" y="33044"/>
                  <a:pt x="390987" y="34873"/>
                </a:cubicBezTo>
                <a:cubicBezTo>
                  <a:pt x="404622" y="39444"/>
                  <a:pt x="429943" y="46759"/>
                  <a:pt x="429943" y="46759"/>
                </a:cubicBezTo>
                <a:cubicBezTo>
                  <a:pt x="489349" y="65959"/>
                  <a:pt x="548756" y="139104"/>
                  <a:pt x="556547" y="153734"/>
                </a:cubicBezTo>
                <a:lnTo>
                  <a:pt x="275095" y="416142"/>
                </a:lnTo>
                <a:lnTo>
                  <a:pt x="267304" y="408827"/>
                </a:lnTo>
                <a:cubicBezTo>
                  <a:pt x="258539" y="400598"/>
                  <a:pt x="244905" y="400598"/>
                  <a:pt x="237114" y="408827"/>
                </a:cubicBezTo>
                <a:lnTo>
                  <a:pt x="11173" y="621863"/>
                </a:lnTo>
                <a:lnTo>
                  <a:pt x="12147" y="622777"/>
                </a:lnTo>
                <a:cubicBezTo>
                  <a:pt x="-6357" y="646549"/>
                  <a:pt x="-3435" y="678550"/>
                  <a:pt x="18964" y="699579"/>
                </a:cubicBezTo>
                <a:cubicBezTo>
                  <a:pt x="41364" y="719694"/>
                  <a:pt x="75449" y="723352"/>
                  <a:pt x="100770" y="705980"/>
                </a:cubicBezTo>
                <a:lnTo>
                  <a:pt x="101744" y="706894"/>
                </a:lnTo>
                <a:lnTo>
                  <a:pt x="328659" y="493859"/>
                </a:lnTo>
                <a:cubicBezTo>
                  <a:pt x="337424" y="485630"/>
                  <a:pt x="337424" y="472829"/>
                  <a:pt x="328659" y="465515"/>
                </a:cubicBezTo>
                <a:lnTo>
                  <a:pt x="320868" y="458200"/>
                </a:lnTo>
                <a:lnTo>
                  <a:pt x="600372" y="195792"/>
                </a:lnTo>
                <a:lnTo>
                  <a:pt x="645171" y="237850"/>
                </a:lnTo>
                <a:cubicBezTo>
                  <a:pt x="653935" y="246079"/>
                  <a:pt x="666596" y="246079"/>
                  <a:pt x="675361" y="238765"/>
                </a:cubicBezTo>
                <a:cubicBezTo>
                  <a:pt x="683152" y="231450"/>
                  <a:pt x="695812" y="230536"/>
                  <a:pt x="704577" y="237850"/>
                </a:cubicBezTo>
                <a:cubicBezTo>
                  <a:pt x="713342" y="246079"/>
                  <a:pt x="713342" y="259794"/>
                  <a:pt x="704577" y="268023"/>
                </a:cubicBezTo>
                <a:cubicBezTo>
                  <a:pt x="696786" y="276252"/>
                  <a:pt x="697760" y="288138"/>
                  <a:pt x="705551" y="295452"/>
                </a:cubicBezTo>
                <a:lnTo>
                  <a:pt x="743533" y="330196"/>
                </a:lnTo>
                <a:cubicBezTo>
                  <a:pt x="752298" y="338425"/>
                  <a:pt x="765932" y="338425"/>
                  <a:pt x="774697" y="330196"/>
                </a:cubicBezTo>
                <a:lnTo>
                  <a:pt x="849686" y="259794"/>
                </a:lnTo>
                <a:cubicBezTo>
                  <a:pt x="853581" y="256137"/>
                  <a:pt x="856503" y="250651"/>
                  <a:pt x="856503" y="245165"/>
                </a:cubicBezTo>
                <a:cubicBezTo>
                  <a:pt x="856503" y="239679"/>
                  <a:pt x="854555" y="234193"/>
                  <a:pt x="849686" y="230536"/>
                </a:cubicBezTo>
                <a:close/>
              </a:path>
            </a:pathLst>
          </a:custGeom>
          <a:solidFill>
            <a:schemeClr val="accent4">
              <a:lumMod val="75000"/>
            </a:schemeClr>
          </a:solidFill>
          <a:ln w="9723" cap="flat">
            <a:noFill/>
            <a:prstDash val="solid"/>
            <a:miter/>
          </a:ln>
        </xdr:spPr>
        <xdr:txBody>
          <a:bodyPr rtlCol="0" anchor="ctr"/>
          <a:lstStyle/>
          <a:p>
            <a:endParaRPr lang="en-US"/>
          </a:p>
        </xdr:txBody>
      </xdr:sp>
    </xdr:grpSp>
    <xdr:clientData/>
  </xdr:twoCellAnchor>
  <xdr:twoCellAnchor>
    <xdr:from>
      <xdr:col>15</xdr:col>
      <xdr:colOff>330200</xdr:colOff>
      <xdr:row>14</xdr:row>
      <xdr:rowOff>114300</xdr:rowOff>
    </xdr:from>
    <xdr:to>
      <xdr:col>18</xdr:col>
      <xdr:colOff>520700</xdr:colOff>
      <xdr:row>19</xdr:row>
      <xdr:rowOff>55419</xdr:rowOff>
    </xdr:to>
    <xdr:grpSp>
      <xdr:nvGrpSpPr>
        <xdr:cNvPr id="2" name="Group 1">
          <a:extLst>
            <a:ext uri="{FF2B5EF4-FFF2-40B4-BE49-F238E27FC236}">
              <a16:creationId xmlns:a16="http://schemas.microsoft.com/office/drawing/2014/main" id="{9A566BE1-9A25-4FC4-AC04-E5199E471055}"/>
            </a:ext>
          </a:extLst>
        </xdr:cNvPr>
        <xdr:cNvGrpSpPr/>
      </xdr:nvGrpSpPr>
      <xdr:grpSpPr>
        <a:xfrm>
          <a:off x="9474200" y="2965450"/>
          <a:ext cx="2019300" cy="868219"/>
          <a:chOff x="9474200" y="2965450"/>
          <a:chExt cx="2019300" cy="868219"/>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9982200" y="3181350"/>
                <a:ext cx="1511300" cy="43180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Admin</a:t>
                </a:r>
              </a:p>
            </xdr:txBody>
          </xdr:sp>
        </mc:Choice>
        <mc:Fallback/>
      </mc:AlternateContent>
      <xdr:pic macro="[0]!Admin_Task">
        <xdr:nvPicPr>
          <xdr:cNvPr id="24" name="Graphic 23" descr="Key">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474200" y="2965450"/>
            <a:ext cx="918397" cy="868219"/>
          </a:xfrm>
          <a:prstGeom prst="rect">
            <a:avLst/>
          </a:prstGeom>
        </xdr:spPr>
      </xdr:pic>
    </xdr:grpSp>
    <xdr:clientData/>
  </xdr:twoCellAnchor>
  <xdr:twoCellAnchor>
    <xdr:from>
      <xdr:col>15</xdr:col>
      <xdr:colOff>361950</xdr:colOff>
      <xdr:row>9</xdr:row>
      <xdr:rowOff>139700</xdr:rowOff>
    </xdr:from>
    <xdr:to>
      <xdr:col>18</xdr:col>
      <xdr:colOff>527050</xdr:colOff>
      <xdr:row>14</xdr:row>
      <xdr:rowOff>31749</xdr:rowOff>
    </xdr:to>
    <xdr:grpSp>
      <xdr:nvGrpSpPr>
        <xdr:cNvPr id="3" name="Group 2">
          <a:extLst>
            <a:ext uri="{FF2B5EF4-FFF2-40B4-BE49-F238E27FC236}">
              <a16:creationId xmlns:a16="http://schemas.microsoft.com/office/drawing/2014/main" id="{06CDC1C1-DB06-41FE-BF06-E5681B88388E}"/>
            </a:ext>
          </a:extLst>
        </xdr:cNvPr>
        <xdr:cNvGrpSpPr/>
      </xdr:nvGrpSpPr>
      <xdr:grpSpPr>
        <a:xfrm>
          <a:off x="9505950" y="2070100"/>
          <a:ext cx="1993900" cy="812799"/>
          <a:chOff x="9505950" y="2070100"/>
          <a:chExt cx="1993900" cy="812799"/>
        </a:xfrm>
      </xdr:grpSpPr>
      <mc:AlternateContent xmlns:mc="http://schemas.openxmlformats.org/markup-compatibility/2006">
        <mc:Choice xmlns:a14="http://schemas.microsoft.com/office/drawing/2010/main" Requires="a14">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0248900" y="2393950"/>
                <a:ext cx="1250950" cy="41910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 Data &amp; Tasks</a:t>
                </a:r>
              </a:p>
            </xdr:txBody>
          </xdr:sp>
        </mc:Choice>
        <mc:Fallback/>
      </mc:AlternateContent>
      <xdr:sp macro="" textlink="">
        <xdr:nvSpPr>
          <xdr:cNvPr id="28" name="Graphic 2" descr="Eraser">
            <a:extLst>
              <a:ext uri="{FF2B5EF4-FFF2-40B4-BE49-F238E27FC236}">
                <a16:creationId xmlns:a16="http://schemas.microsoft.com/office/drawing/2014/main" id="{00000000-0008-0000-0000-00001C000000}"/>
              </a:ext>
            </a:extLst>
          </xdr:cNvPr>
          <xdr:cNvSpPr/>
        </xdr:nvSpPr>
        <xdr:spPr>
          <a:xfrm>
            <a:off x="9505950" y="2070100"/>
            <a:ext cx="850900" cy="812799"/>
          </a:xfrm>
          <a:custGeom>
            <a:avLst/>
            <a:gdLst>
              <a:gd name="connsiteX0" fmla="*/ 359133 w 798410"/>
              <a:gd name="connsiteY0" fmla="*/ 630839 h 686997"/>
              <a:gd name="connsiteX1" fmla="*/ 296234 w 798410"/>
              <a:gd name="connsiteY1" fmla="*/ 630839 h 686997"/>
              <a:gd name="connsiteX2" fmla="*/ 83189 w 798410"/>
              <a:gd name="connsiteY2" fmla="*/ 434287 h 686997"/>
              <a:gd name="connsiteX3" fmla="*/ 276958 w 798410"/>
              <a:gd name="connsiteY3" fmla="*/ 255518 h 686997"/>
              <a:gd name="connsiteX4" fmla="*/ 520438 w 798410"/>
              <a:gd name="connsiteY4" fmla="*/ 480149 h 686997"/>
              <a:gd name="connsiteX5" fmla="*/ 359133 w 798410"/>
              <a:gd name="connsiteY5" fmla="*/ 630839 h 686997"/>
              <a:gd name="connsiteX6" fmla="*/ 786237 w 798410"/>
              <a:gd name="connsiteY6" fmla="*/ 276109 h 686997"/>
              <a:gd name="connsiteX7" fmla="*/ 500148 w 798410"/>
              <a:gd name="connsiteY7" fmla="*/ 11232 h 686997"/>
              <a:gd name="connsiteX8" fmla="*/ 442322 w 798410"/>
              <a:gd name="connsiteY8" fmla="*/ 11232 h 686997"/>
              <a:gd name="connsiteX9" fmla="*/ 12174 w 798410"/>
              <a:gd name="connsiteY9" fmla="*/ 408080 h 686997"/>
              <a:gd name="connsiteX10" fmla="*/ 12174 w 798410"/>
              <a:gd name="connsiteY10" fmla="*/ 461430 h 686997"/>
              <a:gd name="connsiteX11" fmla="*/ 256668 w 798410"/>
              <a:gd name="connsiteY11" fmla="*/ 686997 h 686997"/>
              <a:gd name="connsiteX12" fmla="*/ 686816 w 798410"/>
              <a:gd name="connsiteY12" fmla="*/ 686997 h 686997"/>
              <a:gd name="connsiteX13" fmla="*/ 686816 w 798410"/>
              <a:gd name="connsiteY13" fmla="*/ 630839 h 686997"/>
              <a:gd name="connsiteX14" fmla="*/ 459568 w 798410"/>
              <a:gd name="connsiteY14" fmla="*/ 630839 h 686997"/>
              <a:gd name="connsiteX15" fmla="*/ 786237 w 798410"/>
              <a:gd name="connsiteY15" fmla="*/ 329459 h 686997"/>
              <a:gd name="connsiteX16" fmla="*/ 786237 w 798410"/>
              <a:gd name="connsiteY16" fmla="*/ 276109 h 6869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798410" h="686997">
                <a:moveTo>
                  <a:pt x="359133" y="630839"/>
                </a:moveTo>
                <a:lnTo>
                  <a:pt x="296234" y="630839"/>
                </a:lnTo>
                <a:lnTo>
                  <a:pt x="83189" y="434287"/>
                </a:lnTo>
                <a:lnTo>
                  <a:pt x="276958" y="255518"/>
                </a:lnTo>
                <a:lnTo>
                  <a:pt x="520438" y="480149"/>
                </a:lnTo>
                <a:lnTo>
                  <a:pt x="359133" y="630839"/>
                </a:lnTo>
                <a:close/>
                <a:moveTo>
                  <a:pt x="786237" y="276109"/>
                </a:moveTo>
                <a:lnTo>
                  <a:pt x="500148" y="11232"/>
                </a:lnTo>
                <a:cubicBezTo>
                  <a:pt x="483916" y="-3744"/>
                  <a:pt x="458554" y="-3744"/>
                  <a:pt x="442322" y="11232"/>
                </a:cubicBezTo>
                <a:lnTo>
                  <a:pt x="12174" y="408080"/>
                </a:lnTo>
                <a:cubicBezTo>
                  <a:pt x="-4058" y="423056"/>
                  <a:pt x="-4058" y="446455"/>
                  <a:pt x="12174" y="461430"/>
                </a:cubicBezTo>
                <a:lnTo>
                  <a:pt x="256668" y="686997"/>
                </a:lnTo>
                <a:lnTo>
                  <a:pt x="686816" y="686997"/>
                </a:lnTo>
                <a:lnTo>
                  <a:pt x="686816" y="630839"/>
                </a:lnTo>
                <a:lnTo>
                  <a:pt x="459568" y="630839"/>
                </a:lnTo>
                <a:lnTo>
                  <a:pt x="786237" y="329459"/>
                </a:lnTo>
                <a:cubicBezTo>
                  <a:pt x="802469" y="314484"/>
                  <a:pt x="802469" y="290149"/>
                  <a:pt x="786237" y="276109"/>
                </a:cubicBezTo>
                <a:close/>
              </a:path>
            </a:pathLst>
          </a:custGeom>
          <a:solidFill>
            <a:srgbClr val="C00000"/>
          </a:solidFill>
          <a:ln w="10120" cap="flat">
            <a:noFill/>
            <a:prstDash val="solid"/>
            <a:miter/>
          </a:ln>
        </xdr:spPr>
        <xdr:txBody>
          <a:bodyPr rtlCol="0" anchor="ct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23</xdr:col>
      <xdr:colOff>1</xdr:colOff>
      <xdr:row>1</xdr:row>
      <xdr:rowOff>9528</xdr:rowOff>
    </xdr:from>
    <xdr:to>
      <xdr:col>25</xdr:col>
      <xdr:colOff>171450</xdr:colOff>
      <xdr:row>3</xdr:row>
      <xdr:rowOff>25401</xdr:rowOff>
    </xdr:to>
    <mc:AlternateContent xmlns:mc="http://schemas.openxmlformats.org/markup-compatibility/2006" xmlns:a14="http://schemas.microsoft.com/office/drawing/2010/main">
      <mc:Choice Requires="a14">
        <xdr:graphicFrame macro="">
          <xdr:nvGraphicFramePr>
            <xdr:cNvPr id="2" name="Company Name">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19030951" y="358778"/>
              <a:ext cx="3714749" cy="3841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219075</xdr:colOff>
      <xdr:row>14</xdr:row>
      <xdr:rowOff>152400</xdr:rowOff>
    </xdr:from>
    <xdr:to>
      <xdr:col>20</xdr:col>
      <xdr:colOff>1040606</xdr:colOff>
      <xdr:row>29</xdr:row>
      <xdr:rowOff>157164</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3B772936-9E99-4559-B2D8-E624723F902C}"/>
            </a:ext>
          </a:extLst>
        </xdr:cNvPr>
        <xdr:cNvSpPr txBox="1"/>
      </xdr:nvSpPr>
      <xdr:spPr>
        <a:xfrm>
          <a:off x="100012"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anbhpa/Downloads/SalesReporting/Monthly_Sales_Reporting_Template_To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ructions"/>
      <sheetName val="Summary"/>
      <sheetName val="RegionTemp"/>
      <sheetName val="Map"/>
      <sheetName val="NewData"/>
    </sheetNames>
    <sheetDataSet>
      <sheetData sheetId="0"/>
      <sheetData sheetId="1"/>
      <sheetData sheetId="2"/>
      <sheetData sheetId="3"/>
      <sheetData sheetId="4">
        <row r="9">
          <cell r="G9" t="str">
            <v>America</v>
          </cell>
        </row>
        <row r="10">
          <cell r="G10" t="str">
            <v>Europe</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ishek Pandey C" refreshedDate="44637.9111849537" createdVersion="7" refreshedVersion="7" minRefreshableVersion="3" recordCount="21" xr:uid="{F2551193-2B8E-4A25-BD84-4F210BD4FFB3}">
  <cacheSource type="worksheet">
    <worksheetSource name="TableTemp"/>
  </cacheSource>
  <cacheFields count="14">
    <cacheField name="Company" numFmtId="0">
      <sharedItems/>
    </cacheField>
    <cacheField name="Sales Document" numFmtId="0">
      <sharedItems containsSemiMixedTypes="0" containsString="0" containsNumber="1" containsInteger="1" minValue="24030" maxValue="28112"/>
    </cacheField>
    <cacheField name="Document Date" numFmtId="14">
      <sharedItems containsSemiMixedTypes="0" containsNonDate="0" containsDate="1" containsString="0" minDate="2018-10-02T00:00:00" maxDate="2018-10-17T00:00:00"/>
    </cacheField>
    <cacheField name="Customer Code" numFmtId="0">
      <sharedItems containsSemiMixedTypes="0" containsString="0" containsNumber="1" containsInteger="1" minValue="8010" maxValue="8020"/>
    </cacheField>
    <cacheField name="Article code" numFmtId="0">
      <sharedItems containsSemiMixedTypes="0" containsString="0" containsNumber="1" containsInteger="1" minValue="101" maxValue="118"/>
    </cacheField>
    <cacheField name="Reject" numFmtId="0">
      <sharedItems containsBlank="1" containsMixedTypes="1" containsNumber="1" containsInteger="1" minValue="1" maxValue="6"/>
    </cacheField>
    <cacheField name="Quantity" numFmtId="0">
      <sharedItems containsSemiMixedTypes="0" containsString="0" containsNumber="1" containsInteger="1" minValue="10" maxValue="130"/>
    </cacheField>
    <cacheField name="Sales Local Currency" numFmtId="0">
      <sharedItems containsSemiMixedTypes="0" containsString="0" containsNumber="1" containsInteger="1" minValue="100" maxValue="2500"/>
    </cacheField>
    <cacheField name="Company Name" numFmtId="0">
      <sharedItems count="5">
        <s v="Meta Creations"/>
        <s v="Lucas Basics" u="1"/>
        <e v="#REF!" u="1"/>
        <s v="Bere Kleid" u="1"/>
        <s v="Urban Right" u="1"/>
      </sharedItems>
    </cacheField>
    <cacheField name="Customer Name" numFmtId="0">
      <sharedItems count="7">
        <s v="Erma"/>
        <s v="Dellicia"/>
        <s v="Aida GmbH" u="1"/>
        <e v="#REF!" u="1"/>
        <s v="Edson" u="1"/>
        <s v="Liebher" u="1"/>
        <s v="Werner Strauss" u="1"/>
      </sharedItems>
    </cacheField>
    <cacheField name="Article Description" numFmtId="0">
      <sharedItems count="20">
        <s v="Men type T simple white"/>
        <s v="Men type T simple black"/>
        <s v="Men basics"/>
        <s v="Laptop bag black"/>
        <s v="Men dress shirt black"/>
        <s v="Men dress shirt grey"/>
        <s v="Men shorts grey"/>
        <s v="Men shorts black"/>
        <s v="Unisex tank top white"/>
        <s v="Women type T simple black" u="1"/>
        <s v="Women type T simple white" u="1"/>
        <s v="Women evening dress long black" u="1"/>
        <e v="#REF!" u="1"/>
        <s v="Women crop top black" u="1"/>
        <s v="Unisex tank top black" u="1"/>
        <s v="Smartphone case simple" u="1"/>
        <s v="Smartphone case diamond" u="1"/>
        <s v="Women basics" u="1"/>
        <s v="Laptop bag red" u="1"/>
        <s v="Women evening dress Cocktail red" u="1"/>
      </sharedItems>
    </cacheField>
    <cacheField name="Currency" numFmtId="0">
      <sharedItems/>
    </cacheField>
    <cacheField name="Sales US Dollar" numFmtId="2">
      <sharedItems containsSemiMixedTypes="0" containsString="0" containsNumber="1" containsInteger="1" minValue="100" maxValue="2500"/>
    </cacheField>
    <cacheField name="Reject %" numFmtId="0" formula="Reject/Quantity" databaseField="0"/>
  </cacheFields>
  <extLst>
    <ext xmlns:x14="http://schemas.microsoft.com/office/spreadsheetml/2009/9/main" uri="{725AE2AE-9491-48be-B2B4-4EB974FC3084}">
      <x14:pivotCacheDefinition pivotCacheId="18912668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1020US"/>
    <n v="24030"/>
    <d v="2018-10-02T00:00:00"/>
    <n v="8020"/>
    <n v="101"/>
    <n v="1"/>
    <n v="130"/>
    <n v="1560"/>
    <x v="0"/>
    <x v="0"/>
    <x v="0"/>
    <s v="Men type T simple white"/>
    <n v="1560"/>
  </r>
  <r>
    <s v="1020US"/>
    <n v="24030"/>
    <d v="2018-10-02T00:00:00"/>
    <n v="8020"/>
    <n v="102"/>
    <m/>
    <n v="30"/>
    <n v="360"/>
    <x v="0"/>
    <x v="0"/>
    <x v="1"/>
    <s v="Men type T simple black"/>
    <n v="360"/>
  </r>
  <r>
    <s v="1020US"/>
    <n v="24030"/>
    <d v="2018-10-02T00:00:00"/>
    <n v="8020"/>
    <n v="106"/>
    <s v=""/>
    <n v="60"/>
    <n v="300"/>
    <x v="0"/>
    <x v="0"/>
    <x v="2"/>
    <s v="Men basics"/>
    <n v="300"/>
  </r>
  <r>
    <s v="1020US"/>
    <n v="24030"/>
    <d v="2018-10-02T00:00:00"/>
    <n v="8020"/>
    <n v="108"/>
    <m/>
    <n v="80"/>
    <n v="2240"/>
    <x v="0"/>
    <x v="0"/>
    <x v="3"/>
    <s v="Laptop bag black"/>
    <n v="2240"/>
  </r>
  <r>
    <s v="1020US"/>
    <n v="24031"/>
    <d v="2018-10-08T00:00:00"/>
    <n v="8020"/>
    <n v="101"/>
    <s v=""/>
    <n v="100"/>
    <n v="1200"/>
    <x v="0"/>
    <x v="0"/>
    <x v="0"/>
    <s v="Men type T simple white"/>
    <n v="1200"/>
  </r>
  <r>
    <s v="1020US"/>
    <n v="24031"/>
    <d v="2018-10-08T00:00:00"/>
    <n v="8020"/>
    <n v="108"/>
    <s v=""/>
    <n v="20"/>
    <n v="560"/>
    <x v="0"/>
    <x v="0"/>
    <x v="3"/>
    <s v="Laptop bag black"/>
    <n v="560"/>
  </r>
  <r>
    <s v="1020US"/>
    <n v="24031"/>
    <d v="2018-10-08T00:00:00"/>
    <n v="8020"/>
    <n v="113"/>
    <s v=""/>
    <n v="100"/>
    <n v="2500"/>
    <x v="0"/>
    <x v="0"/>
    <x v="4"/>
    <s v="Men dress shirt black"/>
    <n v="2500"/>
  </r>
  <r>
    <s v="1020US"/>
    <n v="28112"/>
    <d v="2018-10-12T00:00:00"/>
    <n v="8020"/>
    <n v="114"/>
    <n v="1"/>
    <n v="50"/>
    <n v="1250"/>
    <x v="0"/>
    <x v="0"/>
    <x v="5"/>
    <s v="Men dress shirt grey"/>
    <n v="1250"/>
  </r>
  <r>
    <s v="1020US"/>
    <n v="28112"/>
    <d v="2018-10-12T00:00:00"/>
    <n v="8020"/>
    <n v="101"/>
    <s v=""/>
    <n v="40"/>
    <n v="480"/>
    <x v="0"/>
    <x v="0"/>
    <x v="0"/>
    <s v="Men type T simple white"/>
    <n v="480"/>
  </r>
  <r>
    <s v="1020US"/>
    <n v="28112"/>
    <d v="2018-10-12T00:00:00"/>
    <n v="8020"/>
    <n v="102"/>
    <m/>
    <n v="70"/>
    <n v="840"/>
    <x v="0"/>
    <x v="0"/>
    <x v="1"/>
    <s v="Men type T simple black"/>
    <n v="840"/>
  </r>
  <r>
    <s v="1020US"/>
    <n v="28112"/>
    <d v="2018-10-12T00:00:00"/>
    <n v="8020"/>
    <n v="106"/>
    <m/>
    <n v="70"/>
    <n v="350"/>
    <x v="0"/>
    <x v="0"/>
    <x v="2"/>
    <s v="Men basics"/>
    <n v="350"/>
  </r>
  <r>
    <s v="1020US"/>
    <n v="28112"/>
    <d v="2018-10-12T00:00:00"/>
    <n v="8020"/>
    <n v="108"/>
    <m/>
    <n v="10"/>
    <n v="280"/>
    <x v="0"/>
    <x v="0"/>
    <x v="3"/>
    <s v="Laptop bag black"/>
    <n v="280"/>
  </r>
  <r>
    <s v="1020US"/>
    <n v="28112"/>
    <d v="2018-10-12T00:00:00"/>
    <n v="8020"/>
    <n v="117"/>
    <m/>
    <n v="80"/>
    <n v="1440"/>
    <x v="0"/>
    <x v="0"/>
    <x v="6"/>
    <s v="Men shorts grey"/>
    <n v="1440"/>
  </r>
  <r>
    <s v="1020US"/>
    <n v="28112"/>
    <d v="2018-10-12T00:00:00"/>
    <n v="8020"/>
    <n v="118"/>
    <m/>
    <n v="70"/>
    <n v="1260"/>
    <x v="0"/>
    <x v="0"/>
    <x v="7"/>
    <s v="Men shorts black"/>
    <n v="1260"/>
  </r>
  <r>
    <s v="1020US"/>
    <n v="25442"/>
    <d v="2018-10-16T00:00:00"/>
    <n v="8010"/>
    <n v="118"/>
    <m/>
    <n v="70"/>
    <n v="1260"/>
    <x v="0"/>
    <x v="1"/>
    <x v="7"/>
    <s v="Men shorts black"/>
    <n v="1260"/>
  </r>
  <r>
    <s v="1020US"/>
    <n v="25442"/>
    <d v="2018-10-16T00:00:00"/>
    <n v="8010"/>
    <n v="117"/>
    <n v="6"/>
    <n v="80"/>
    <n v="1440"/>
    <x v="0"/>
    <x v="1"/>
    <x v="6"/>
    <s v="Men shorts grey"/>
    <n v="1440"/>
  </r>
  <r>
    <s v="1020US"/>
    <n v="25442"/>
    <d v="2018-10-16T00:00:00"/>
    <n v="8010"/>
    <n v="118"/>
    <m/>
    <n v="70"/>
    <n v="1260"/>
    <x v="0"/>
    <x v="1"/>
    <x v="7"/>
    <s v="Men shorts black"/>
    <n v="1260"/>
  </r>
  <r>
    <s v="1020US"/>
    <n v="25442"/>
    <d v="2018-10-16T00:00:00"/>
    <n v="8010"/>
    <n v="116"/>
    <n v="1"/>
    <n v="60"/>
    <n v="360"/>
    <x v="0"/>
    <x v="1"/>
    <x v="8"/>
    <s v="Unisex tank top white"/>
    <n v="360"/>
  </r>
  <r>
    <s v="1020US"/>
    <n v="25442"/>
    <d v="2018-10-16T00:00:00"/>
    <n v="8010"/>
    <n v="106"/>
    <m/>
    <n v="20"/>
    <n v="100"/>
    <x v="0"/>
    <x v="1"/>
    <x v="2"/>
    <s v="Men basics"/>
    <n v="100"/>
  </r>
  <r>
    <s v="1020US"/>
    <n v="25442"/>
    <d v="2018-10-16T00:00:00"/>
    <n v="8010"/>
    <n v="101"/>
    <m/>
    <n v="40"/>
    <n v="480"/>
    <x v="0"/>
    <x v="1"/>
    <x v="0"/>
    <s v="Men type T simple white"/>
    <n v="480"/>
  </r>
  <r>
    <s v="1020US"/>
    <n v="25442"/>
    <d v="2018-10-16T00:00:00"/>
    <n v="8010"/>
    <n v="102"/>
    <m/>
    <n v="10"/>
    <n v="120"/>
    <x v="0"/>
    <x v="1"/>
    <x v="1"/>
    <s v="Men type T simple black"/>
    <n v="1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8036FF-A350-40CD-AC60-547B90996BD6}" name="PTRegion" cacheId="7" applyNumberFormats="0" applyBorderFormats="0" applyFontFormats="0" applyPatternFormats="0" applyAlignmentFormats="0" applyWidthHeightFormats="1" dataCaption="Values" grandTotalCaption="Total" updatedVersion="7" minRefreshableVersion="3" itemPrintTitles="1" createdVersion="6" indent="0" compact="0" compactData="0" multipleFieldFilters="0" chartFormat="2">
  <location ref="S5:U8"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compact="0" outline="0" subtotalTop="0" showAll="0"/>
    <pivotField name="Customer" axis="axisRow" compact="0" outline="0" subtotalTop="0" showAll="0" sortType="descending">
      <items count="8">
        <item m="1" x="4"/>
        <item m="1" x="2"/>
        <item m="1" x="6"/>
        <item m="1" x="5"/>
        <item m="1" x="3"/>
        <item x="0"/>
        <item x="1"/>
        <item t="default"/>
      </items>
      <autoSortScope>
        <pivotArea dataOnly="0" outline="0" fieldPosition="0">
          <references count="1">
            <reference field="4294967294" count="1" selected="0">
              <x v="0"/>
            </reference>
          </references>
        </pivotArea>
      </autoSortScope>
    </pivotField>
    <pivotField compact="0" outline="0" subtotalTop="0" showAll="0"/>
    <pivotField compact="0" outline="0" subtotalTop="0" showAll="0"/>
    <pivotField dataField="1" compact="0" numFmtId="2" outline="0" subtotalTop="0" showAll="0"/>
    <pivotField compact="0" outline="0" dragToRow="0" dragToCol="0" dragToPage="0" showAll="0" defaultSubtotal="0"/>
  </pivotFields>
  <rowFields count="1">
    <field x="9"/>
  </rowFields>
  <rowItems count="3">
    <i>
      <x v="5"/>
    </i>
    <i>
      <x v="6"/>
    </i>
    <i t="grand">
      <x/>
    </i>
  </rowItems>
  <colFields count="1">
    <field x="-2"/>
  </colFields>
  <colItems count="2">
    <i>
      <x/>
    </i>
    <i i="1">
      <x v="1"/>
    </i>
  </colItems>
  <dataFields count="2">
    <dataField name="$ Sales" fld="12" baseField="0" baseItem="0" numFmtId="164"/>
    <dataField name=" " fld="12" showDataAs="percentOfTotal" baseField="0" baseItem="0" numFmtId="9"/>
  </dataFields>
  <formats count="5">
    <format dxfId="21">
      <pivotArea dataOnly="0" labelOnly="1" outline="0" axis="axisValues" fieldPosition="0"/>
    </format>
    <format dxfId="20">
      <pivotArea dataOnly="0" labelOnly="1" outline="0" axis="axisValues" fieldPosition="0"/>
    </format>
    <format dxfId="19">
      <pivotArea outline="0" fieldPosition="0">
        <references count="1">
          <reference field="4294967294" count="1">
            <x v="1"/>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19F9E2-4F2B-4C61-B466-92C9849343E1}" name="PTArticle" cacheId="7" applyNumberFormats="0" applyBorderFormats="0" applyFontFormats="0" applyPatternFormats="0" applyAlignmentFormats="0" applyWidthHeightFormats="1" dataCaption="Values" grandTotalCaption="Total" updatedVersion="7" minRefreshableVersion="3" itemPrintTitles="1" createdVersion="6" indent="0" compact="0" compactData="0" multipleFieldFilters="0">
  <location ref="X5:Z15"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items count="6">
        <item m="1" x="3"/>
        <item m="1" x="1"/>
        <item x="0"/>
        <item m="1" x="4"/>
        <item m="1" x="2"/>
        <item t="default"/>
      </items>
    </pivotField>
    <pivotField compact="0" outline="0" subtotalTop="0" showAll="0"/>
    <pivotField name="Article" axis="axisRow" compact="0" outline="0" subtotalTop="0" showAll="0" sortType="descending">
      <items count="21">
        <item x="3"/>
        <item m="1" x="18"/>
        <item m="1" x="16"/>
        <item m="1" x="15"/>
        <item m="1" x="14"/>
        <item m="1" x="17"/>
        <item m="1" x="13"/>
        <item m="1" x="19"/>
        <item m="1" x="11"/>
        <item m="1" x="9"/>
        <item m="1" x="10"/>
        <item x="8"/>
        <item m="1" x="12"/>
        <item x="0"/>
        <item x="1"/>
        <item x="2"/>
        <item x="4"/>
        <item x="5"/>
        <item x="6"/>
        <item x="7"/>
        <item t="default"/>
      </items>
      <autoSortScope>
        <pivotArea dataOnly="0" outline="0" fieldPosition="0">
          <references count="1">
            <reference field="4294967294" count="1" selected="0">
              <x v="0"/>
            </reference>
          </references>
        </pivotArea>
      </autoSortScope>
    </pivotField>
    <pivotField compact="0" outline="0" subtotalTop="0" showAll="0"/>
    <pivotField dataField="1" compact="0" numFmtId="2" outline="0" subtotalTop="0" showAll="0"/>
    <pivotField compact="0" outline="0" dragToRow="0" dragToCol="0" dragToPage="0" showAll="0" defaultSubtotal="0"/>
  </pivotFields>
  <rowFields count="1">
    <field x="10"/>
  </rowFields>
  <rowItems count="10">
    <i>
      <x v="19"/>
    </i>
    <i>
      <x v="13"/>
    </i>
    <i>
      <x/>
    </i>
    <i>
      <x v="18"/>
    </i>
    <i>
      <x v="16"/>
    </i>
    <i>
      <x v="14"/>
    </i>
    <i>
      <x v="17"/>
    </i>
    <i>
      <x v="15"/>
    </i>
    <i>
      <x v="11"/>
    </i>
    <i t="grand">
      <x/>
    </i>
  </rowItems>
  <colFields count="1">
    <field x="-2"/>
  </colFields>
  <colItems count="2">
    <i>
      <x/>
    </i>
    <i i="1">
      <x v="1"/>
    </i>
  </colItems>
  <dataFields count="2">
    <dataField name="$ Sales" fld="12" baseField="0" baseItem="0" numFmtId="3"/>
    <dataField name="Quantity " fld="6" baseField="10" baseItem="15" numFmtId="1"/>
  </dataFields>
  <formats count="7">
    <format dxfId="28">
      <pivotArea dataOnly="0" labelOnly="1" outline="0" axis="axisValues" fieldPosition="0"/>
    </format>
    <format dxfId="27">
      <pivotArea dataOnly="0" labelOnly="1" outline="0" axis="axisValues" fieldPosition="0"/>
    </format>
    <format dxfId="26">
      <pivotArea outline="0" fieldPosition="0">
        <references count="1">
          <reference field="4294967294" count="1">
            <x v="0"/>
          </reference>
        </references>
      </pivotArea>
    </format>
    <format dxfId="25">
      <pivotArea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0"/>
          </reference>
        </references>
      </pivotArea>
    </format>
    <format dxfId="22">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F6373F3-465E-49A3-8FF8-AD1C1FF04A4E}" name="PTReject" cacheId="7" applyNumberFormats="0" applyBorderFormats="0" applyFontFormats="0" applyPatternFormats="0" applyAlignmentFormats="0" applyWidthHeightFormats="1" dataCaption="Values" grandTotalCaption="Total" updatedVersion="7" minRefreshableVersion="3" itemPrintTitles="1" createdVersion="6" indent="0" compact="0" compactData="0" multipleFieldFilters="0">
  <location ref="AC5:AE10" firstHeaderRow="0" firstDataRow="1" firstDataCol="1"/>
  <pivotFields count="14">
    <pivotField compact="0" outline="0" subtotalTop="0" showAll="0"/>
    <pivotField compact="0" outline="0" subtotalTop="0" showAll="0"/>
    <pivotField compact="0" numFmtId="14" outline="0" subtotalTop="0" showAll="0"/>
    <pivotField compact="0" outline="0" subtotalTop="0" showAll="0"/>
    <pivotField compact="0" outline="0" subtotalTop="0" showAll="0"/>
    <pivotField dataField="1" compact="0" outline="0" subtotalTop="0" showAll="0"/>
    <pivotField compact="0" outline="0" subtotalTop="0" showAll="0"/>
    <pivotField compact="0" outline="0" subtotalTop="0" showAll="0"/>
    <pivotField compact="0" outline="0" subtotalTop="0" showAll="0">
      <items count="6">
        <item m="1" x="3"/>
        <item m="1" x="1"/>
        <item x="0"/>
        <item m="1" x="4"/>
        <item m="1" x="2"/>
        <item t="default"/>
      </items>
    </pivotField>
    <pivotField compact="0" outline="0" subtotalTop="0" showAll="0"/>
    <pivotField name="Article" axis="axisRow" compact="0" outline="0" subtotalTop="0" showAll="0" measureFilter="1" sortType="descending">
      <items count="21">
        <item x="3"/>
        <item m="1" x="18"/>
        <item m="1" x="16"/>
        <item m="1" x="15"/>
        <item m="1" x="14"/>
        <item m="1" x="17"/>
        <item m="1" x="19"/>
        <item m="1" x="10"/>
        <item m="1" x="9"/>
        <item m="1" x="13"/>
        <item m="1" x="11"/>
        <item x="8"/>
        <item m="1" x="12"/>
        <item x="0"/>
        <item x="1"/>
        <item x="2"/>
        <item x="4"/>
        <item x="5"/>
        <item x="6"/>
        <item x="7"/>
        <item t="default"/>
      </items>
      <autoSortScope>
        <pivotArea dataOnly="0" outline="0" fieldPosition="0">
          <references count="1">
            <reference field="4294967294" count="1" selected="0">
              <x v="0"/>
            </reference>
          </references>
        </pivotArea>
      </autoSortScope>
    </pivotField>
    <pivotField compact="0" outline="0" subtotalTop="0" showAll="0"/>
    <pivotField compact="0" numFmtId="2" outline="0" subtotalTop="0" showAll="0"/>
    <pivotField dataField="1" compact="0" outline="0" dragToRow="0" dragToCol="0" dragToPage="0" showAll="0" defaultSubtotal="0"/>
  </pivotFields>
  <rowFields count="1">
    <field x="10"/>
  </rowFields>
  <rowItems count="5">
    <i>
      <x v="18"/>
    </i>
    <i>
      <x v="17"/>
    </i>
    <i>
      <x v="11"/>
    </i>
    <i>
      <x v="13"/>
    </i>
    <i t="grand">
      <x/>
    </i>
  </rowItems>
  <colFields count="1">
    <field x="-2"/>
  </colFields>
  <colItems count="2">
    <i>
      <x/>
    </i>
    <i i="1">
      <x v="1"/>
    </i>
  </colItems>
  <dataFields count="2">
    <dataField name="Reject " fld="5" baseField="10" baseItem="0"/>
    <dataField name="Reject % " fld="13" baseField="0" baseItem="0" numFmtId="165"/>
  </dataFields>
  <formats count="5">
    <format dxfId="33">
      <pivotArea dataOnly="0" labelOnly="1" outline="0" fieldPosition="0">
        <references count="1">
          <reference field="4294967294" count="1">
            <x v="0"/>
          </reference>
        </references>
      </pivotArea>
    </format>
    <format dxfId="32">
      <pivotArea outline="0" fieldPosition="0">
        <references count="1">
          <reference field="4294967294" count="1">
            <x v="1"/>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2">
            <x v="0"/>
            <x v="1"/>
          </reference>
        </references>
      </pivotArea>
    </format>
    <format dxfId="29">
      <pivotArea dataOnly="0" labelOnly="1" outline="0" fieldPosition="0">
        <references count="1">
          <reference field="4294967294" count="2">
            <x v="0"/>
            <x v="1"/>
          </reference>
        </references>
      </pivotArea>
    </format>
  </formats>
  <pivotTableStyleInfo name="MyPivotStyle"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58F126-8A68-411F-BE16-70D9ED07522B}" name="PTManager" cacheId="7" applyNumberFormats="0" applyBorderFormats="0" applyFontFormats="0" applyPatternFormats="0" applyAlignmentFormats="0" applyWidthHeightFormats="1" dataCaption="Values" grandTotalCaption="Total" updatedVersion="7" minRefreshableVersion="3" showDrill="0" itemPrintTitles="1" createdVersion="6" indent="0" outline="1" outlineData="1" multipleFieldFilters="0">
  <location ref="AK3:AM24" firstHeaderRow="0" firstDataRow="1" firstDataCol="1"/>
  <pivotFields count="14">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items count="6">
        <item m="1" x="3"/>
        <item m="1" x="1"/>
        <item m="1" x="2"/>
        <item x="0"/>
        <item m="1" x="4"/>
        <item t="default"/>
      </items>
    </pivotField>
    <pivotField axis="axisRow" subtotalTop="0" showAll="0">
      <items count="8">
        <item m="1" x="4"/>
        <item m="1" x="2"/>
        <item m="1" x="6"/>
        <item m="1" x="5"/>
        <item m="1" x="3"/>
        <item x="0"/>
        <item x="1"/>
        <item t="default"/>
      </items>
    </pivotField>
    <pivotField axis="axisRow" subtotalTop="0" showAll="0" sortType="descending">
      <items count="21">
        <item x="3"/>
        <item m="1" x="18"/>
        <item m="1" x="16"/>
        <item m="1" x="15"/>
        <item m="1" x="14"/>
        <item m="1" x="17"/>
        <item m="1" x="13"/>
        <item m="1" x="19"/>
        <item m="1" x="11"/>
        <item m="1" x="9"/>
        <item m="1" x="10"/>
        <item x="8"/>
        <item m="1" x="12"/>
        <item x="0"/>
        <item x="1"/>
        <item x="2"/>
        <item x="4"/>
        <item x="5"/>
        <item x="6"/>
        <item x="7"/>
        <item t="default"/>
      </items>
      <autoSortScope>
        <pivotArea dataOnly="0" outline="0" fieldPosition="0">
          <references count="1">
            <reference field="4294967294" count="1" selected="0">
              <x v="0"/>
            </reference>
          </references>
        </pivotArea>
      </autoSortScope>
    </pivotField>
    <pivotField subtotalTop="0" showAll="0"/>
    <pivotField dataField="1" numFmtId="2" subtotalTop="0" showAll="0"/>
    <pivotField dragToRow="0" dragToCol="0" dragToPage="0" showAll="0" defaultSubtotal="0"/>
  </pivotFields>
  <rowFields count="3">
    <field x="8"/>
    <field x="9"/>
    <field x="10"/>
  </rowFields>
  <rowItems count="21">
    <i>
      <x v="3"/>
    </i>
    <i r="1">
      <x v="5"/>
    </i>
    <i r="2">
      <x v="13"/>
    </i>
    <i r="2">
      <x/>
    </i>
    <i r="2">
      <x v="16"/>
    </i>
    <i r="2">
      <x v="18"/>
    </i>
    <i r="2">
      <x v="19"/>
    </i>
    <i r="2">
      <x v="17"/>
    </i>
    <i r="2">
      <x v="14"/>
    </i>
    <i r="2">
      <x v="15"/>
    </i>
    <i t="default" r="1">
      <x v="5"/>
    </i>
    <i r="1">
      <x v="6"/>
    </i>
    <i r="2">
      <x v="19"/>
    </i>
    <i r="2">
      <x v="18"/>
    </i>
    <i r="2">
      <x v="13"/>
    </i>
    <i r="2">
      <x v="11"/>
    </i>
    <i r="2">
      <x v="14"/>
    </i>
    <i r="2">
      <x v="15"/>
    </i>
    <i t="default" r="1">
      <x v="6"/>
    </i>
    <i t="default">
      <x v="3"/>
    </i>
    <i t="grand">
      <x/>
    </i>
  </rowItems>
  <colFields count="1">
    <field x="-2"/>
  </colFields>
  <colItems count="2">
    <i>
      <x/>
    </i>
    <i i="1">
      <x v="1"/>
    </i>
  </colItems>
  <dataFields count="2">
    <dataField name="Sales in US Dollar" fld="12" baseField="0" baseItem="0" numFmtId="3"/>
    <dataField name=" Quantity" fld="6" baseField="8" baseItem="1" numFmtId="3"/>
  </dataFields>
  <formats count="3">
    <format dxfId="36">
      <pivotArea dataOnly="0" labelOnly="1" outline="0" fieldPosition="0">
        <references count="1">
          <reference field="4294967294" count="1">
            <x v="0"/>
          </reference>
        </references>
      </pivotArea>
    </format>
    <format dxfId="35">
      <pivotArea dataOnly="0" labelOnly="1" outline="0" fieldPosition="0">
        <references count="1">
          <reference field="4294967294" count="1">
            <x v="1"/>
          </reference>
        </references>
      </pivotArea>
    </format>
    <format dxfId="34">
      <pivotArea dataOnly="0" labelOnly="1" outline="0" fieldPosition="0">
        <references count="1">
          <reference field="4294967294" count="1">
            <x v="1"/>
          </reference>
        </references>
      </pivotArea>
    </format>
  </formats>
  <pivotTableStyleInfo name="MyPivotStyle"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B4A49CAB-B8B8-4269-B9DB-809A4CDA6419}" sourceName="Company Name">
  <pivotTables>
    <pivotTable tabId="9" name="PTReject"/>
    <pivotTable tabId="9" name="PTArticle"/>
  </pivotTables>
  <data>
    <tabular pivotCacheId="1891266843">
      <items count="5">
        <i x="0" s="1"/>
        <i x="3" s="1" nd="1"/>
        <i x="1" s="1" nd="1"/>
        <i x="4" s="1" nd="1"/>
        <i x="2"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22D1A82A-C07D-4B42-A16A-1AF789404947}" cache="Slicer_Company_Name" caption="Company Name" columnCount="3"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0B7118-A875-45C6-9DF2-AFD9C8AD7C0F}" name="TableTemp" displayName="TableTemp" ref="A1:M22" totalsRowShown="0" headerRowDxfId="16" dataDxfId="15">
  <tableColumns count="13">
    <tableColumn id="1" xr3:uid="{BCB9097A-995B-444A-A32C-E766743E77FE}" name="Company" dataDxfId="14"/>
    <tableColumn id="2" xr3:uid="{E8E5BBDF-8FF5-471D-9109-23B4EC6B1FD8}" name="Sales Document" dataDxfId="13"/>
    <tableColumn id="3" xr3:uid="{6404DD4D-B235-4EA7-B774-039E21B92C38}" name="Document Date" dataDxfId="12"/>
    <tableColumn id="4" xr3:uid="{39FC4504-CC14-4B87-9627-A2FCC37250FB}" name="Customer Code" dataDxfId="11"/>
    <tableColumn id="5" xr3:uid="{3E8159B9-768E-4341-9FA6-82EAA8C14CA4}" name="Article code" dataDxfId="10"/>
    <tableColumn id="6" xr3:uid="{1C527D8D-DBD3-481C-B1E9-B99E72315766}" name="Reject" dataDxfId="9"/>
    <tableColumn id="7" xr3:uid="{E54E5C7C-B747-43A3-BC7B-A2729577AE97}" name="Quantity" dataDxfId="8"/>
    <tableColumn id="8" xr3:uid="{916B3DA4-E5D8-4407-84D7-212DEDE4FF27}" name="Sales Local Currency" dataDxfId="7"/>
    <tableColumn id="9" xr3:uid="{6B352EC7-45BD-4C21-95B3-B3C9553A919C}" name="Company Name" dataDxfId="6">
      <calculatedColumnFormula>VLOOKUP(A2,MCompany[],2,FALSE)</calculatedColumnFormula>
    </tableColumn>
    <tableColumn id="10" xr3:uid="{DFDE6570-BE31-4E86-9512-49CBD6E6F700}" name="Customer Name" dataDxfId="5">
      <calculatedColumnFormula>VLOOKUP(TableTemp[[#This Row],[Customer Code]],MCustomer[],2,FALSE)</calculatedColumnFormula>
    </tableColumn>
    <tableColumn id="11" xr3:uid="{A99D84EF-25E8-449E-B8FF-3E1B8ADC16C8}" name="Article Description" dataDxfId="4">
      <calculatedColumnFormula>VLOOKUP(TableTemp[[#This Row],[Article code]],MArticle[],2,FALSE)</calculatedColumnFormula>
    </tableColumn>
    <tableColumn id="13" xr3:uid="{9A687F53-4586-49FE-9E45-9EF1B8436089}" name="Currency" dataDxfId="3">
      <calculatedColumnFormula>VLOOKUP(TableTemp[[#This Row],[Article code]],MArticle[],2,FALSE)</calculatedColumnFormula>
    </tableColumn>
    <tableColumn id="12" xr3:uid="{5B14A747-2874-4CF1-9ECE-A24A97023726}" name="Sales US Dollar" dataDxfId="2">
      <calculatedColumnFormula>IF(TableTemp[[#This Row],[Currency]]="EUR",ROUND(VLOOKUP(MONTH(TableTemp[[#This Row],[Document Date]]),MExchange[],2,FALSE)*TableTemp[[#This Row],[Sales Local Currency]],2),ROUND(TableTemp[[#This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410A4B-0D53-4602-931C-D3B98BF64BDE}"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AF7CB7E4-896B-42C8-8E9C-97B85DC1EF36}" name="Company code" totalsRowLabel="Total"/>
    <tableColumn id="2" xr3:uid="{74D8359D-FF6B-4C94-A8F2-59D7E24C1B8F}" name="Company Name"/>
    <tableColumn id="3" xr3:uid="{DA770EB9-D3C0-4B58-8350-33556A71D9EF}" name="Currency" totalsRowFunction="count"/>
    <tableColumn id="4" xr3:uid="{E272E382-CA9E-4F30-9039-8D61F4CAD018}"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765580-4164-4106-8585-0E30F7844092}" name="MCustomer" displayName="MCustomer" ref="B16:C22" totalsRowShown="0">
  <autoFilter ref="B16:C22" xr:uid="{00000000-0009-0000-0100-000003000000}">
    <filterColumn colId="0" hiddenButton="1"/>
    <filterColumn colId="1" hiddenButton="1"/>
  </autoFilter>
  <tableColumns count="2">
    <tableColumn id="1" xr3:uid="{8834F512-4362-4A35-8C39-32B68CE8BB32}" name="Customer code"/>
    <tableColumn id="2" xr3:uid="{578A2C61-D3CF-40E7-BC82-F1A6D959B2BF}"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4BC74E3-7948-4AB2-B4F7-6B32D5EA4AF5}" name="MArticle" displayName="MArticle" ref="B26:C46" totalsRowShown="0">
  <autoFilter ref="B26:C46" xr:uid="{00000000-0009-0000-0100-000004000000}">
    <filterColumn colId="0" hiddenButton="1"/>
    <filterColumn colId="1" hiddenButton="1"/>
  </autoFilter>
  <tableColumns count="2">
    <tableColumn id="1" xr3:uid="{BE69FF05-F6CF-48BA-8777-1FBE95EE02EB}" name="Article code" dataDxfId="0"/>
    <tableColumn id="2" xr3:uid="{3B281FFB-9651-4185-BCFC-FED5E20A003C}"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6617CA-D6B2-4534-9C47-9B87CAA010CA}" name="MExchange" displayName="MExchange" ref="B52:C64" totalsRowShown="0">
  <autoFilter ref="B52:C64" xr:uid="{00000000-0009-0000-0100-000005000000}">
    <filterColumn colId="0" hiddenButton="1"/>
    <filterColumn colId="1" hiddenButton="1"/>
  </autoFilter>
  <tableColumns count="2">
    <tableColumn id="1" xr3:uid="{EE6BA6BB-CA21-45E4-AC7A-0D15E53122FF}" name="Month"/>
    <tableColumn id="2" xr3:uid="{87AC0FBE-B78C-4106-96E8-F773BC8ECD01}"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4CDA2-AE6E-485D-A576-E938053D699C}">
  <sheetPr codeName="shStart"/>
  <dimension ref="A1:T19"/>
  <sheetViews>
    <sheetView showGridLines="0" tabSelected="1" workbookViewId="0"/>
  </sheetViews>
  <sheetFormatPr defaultColWidth="0" defaultRowHeight="14.5" x14ac:dyDescent="0.35"/>
  <cols>
    <col min="1" max="20" width="8.7265625" customWidth="1"/>
    <col min="21" max="16384" width="8.7265625" hidden="1"/>
  </cols>
  <sheetData>
    <row r="1" spans="2:16" ht="17.5" x14ac:dyDescent="0.35">
      <c r="B1" s="3" t="s">
        <v>8</v>
      </c>
    </row>
    <row r="2" spans="2:16" ht="30" x14ac:dyDescent="1">
      <c r="B2" s="3"/>
      <c r="P2" s="4" t="s">
        <v>9</v>
      </c>
    </row>
    <row r="3" spans="2:16" ht="17.5" x14ac:dyDescent="0.35">
      <c r="B3" s="3"/>
    </row>
    <row r="18" spans="1:6" ht="15" thickBot="1" x14ac:dyDescent="0.4">
      <c r="A18" s="40" t="s">
        <v>84</v>
      </c>
      <c r="B18" s="41"/>
      <c r="C18" s="41"/>
      <c r="D18" s="41"/>
      <c r="E18" s="41"/>
      <c r="F18" s="41"/>
    </row>
    <row r="19" spans="1:6" x14ac:dyDescent="0.35">
      <c r="A19" s="42"/>
      <c r="B19" s="42"/>
      <c r="C19" s="42"/>
      <c r="D19" s="42"/>
      <c r="E19" s="42"/>
      <c r="F19" s="4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7" r:id="rId4" name="AxRegion">
          <controlPr defaultSize="0" autoLine="0" listFillRange="MRegion" r:id="rId5">
            <anchor moveWithCells="1">
              <from>
                <xdr:col>7</xdr:col>
                <xdr:colOff>82550</xdr:colOff>
                <xdr:row>13</xdr:row>
                <xdr:rowOff>6350</xdr:rowOff>
              </from>
              <to>
                <xdr:col>9</xdr:col>
                <xdr:colOff>209550</xdr:colOff>
                <xdr:row>14</xdr:row>
                <xdr:rowOff>69850</xdr:rowOff>
              </to>
            </anchor>
          </controlPr>
        </control>
      </mc:Choice>
      <mc:Fallback>
        <control shapeId="1027" r:id="rId4" name="AxRegion"/>
      </mc:Fallback>
    </mc:AlternateContent>
    <mc:AlternateContent xmlns:mc="http://schemas.openxmlformats.org/markup-compatibility/2006">
      <mc:Choice Requires="x14">
        <control shapeId="1025" r:id="rId6" name="Button 1">
          <controlPr defaultSize="0" autoFill="0" autoPict="0" macro="[0]!Import_sales">
            <anchor moveWithCells="1" sizeWithCells="1">
              <from>
                <xdr:col>1</xdr:col>
                <xdr:colOff>0</xdr:colOff>
                <xdr:row>10</xdr:row>
                <xdr:rowOff>101600</xdr:rowOff>
              </from>
              <to>
                <xdr:col>3</xdr:col>
                <xdr:colOff>177800</xdr:colOff>
                <xdr:row>13</xdr:row>
                <xdr:rowOff>25400</xdr:rowOff>
              </to>
            </anchor>
          </controlPr>
        </control>
      </mc:Choice>
    </mc:AlternateContent>
    <mc:AlternateContent xmlns:mc="http://schemas.openxmlformats.org/markup-compatibility/2006">
      <mc:Choice Requires="x14">
        <control shapeId="1028" r:id="rId7" name="Button 4">
          <controlPr defaultSize="0" autoFill="0" autoPict="0" macro="[0]!Create_Reports">
            <anchor moveWithCells="1" sizeWithCells="1">
              <from>
                <xdr:col>6</xdr:col>
                <xdr:colOff>558800</xdr:colOff>
                <xdr:row>10</xdr:row>
                <xdr:rowOff>133350</xdr:rowOff>
              </from>
              <to>
                <xdr:col>9</xdr:col>
                <xdr:colOff>95250</xdr:colOff>
                <xdr:row>12</xdr:row>
                <xdr:rowOff>146050</xdr:rowOff>
              </to>
            </anchor>
          </controlPr>
        </control>
      </mc:Choice>
    </mc:AlternateContent>
    <mc:AlternateContent xmlns:mc="http://schemas.openxmlformats.org/markup-compatibility/2006">
      <mc:Choice Requires="x14">
        <control shapeId="1030" r:id="rId8" name="Button 6">
          <controlPr defaultSize="0" autoFill="0" autoPict="0" macro="[0]!Create_CSV">
            <anchor moveWithCells="1" sizeWithCells="1">
              <from>
                <xdr:col>11</xdr:col>
                <xdr:colOff>546100</xdr:colOff>
                <xdr:row>10</xdr:row>
                <xdr:rowOff>76200</xdr:rowOff>
              </from>
              <to>
                <xdr:col>14</xdr:col>
                <xdr:colOff>177800</xdr:colOff>
                <xdr:row>12</xdr:row>
                <xdr:rowOff>120650</xdr:rowOff>
              </to>
            </anchor>
          </controlPr>
        </control>
      </mc:Choice>
    </mc:AlternateContent>
    <mc:AlternateContent xmlns:mc="http://schemas.openxmlformats.org/markup-compatibility/2006">
      <mc:Choice Requires="x14">
        <control shapeId="1031" r:id="rId9" name="Button 7">
          <controlPr defaultSize="0" autoFill="0" autoPict="0" macro="[0]!Clear_OldMonth">
            <anchor moveWithCells="1" sizeWithCells="1">
              <from>
                <xdr:col>16</xdr:col>
                <xdr:colOff>495300</xdr:colOff>
                <xdr:row>11</xdr:row>
                <xdr:rowOff>95250</xdr:rowOff>
              </from>
              <to>
                <xdr:col>18</xdr:col>
                <xdr:colOff>527050</xdr:colOff>
                <xdr:row>13</xdr:row>
                <xdr:rowOff>146050</xdr:rowOff>
              </to>
            </anchor>
          </controlPr>
        </control>
      </mc:Choice>
    </mc:AlternateContent>
    <mc:AlternateContent xmlns:mc="http://schemas.openxmlformats.org/markup-compatibility/2006">
      <mc:Choice Requires="x14">
        <control shapeId="1033" r:id="rId10" name="Button 9">
          <controlPr defaultSize="0" autoFill="0" autoPict="0" macro="[0]!Admin_Task">
            <anchor moveWithCells="1" sizeWithCells="1">
              <from>
                <xdr:col>16</xdr:col>
                <xdr:colOff>228600</xdr:colOff>
                <xdr:row>15</xdr:row>
                <xdr:rowOff>146050</xdr:rowOff>
              </from>
              <to>
                <xdr:col>18</xdr:col>
                <xdr:colOff>520700</xdr:colOff>
                <xdr:row>18</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743AE-7E6D-405C-88CB-8D83BEF80983}">
  <sheetPr codeName="shAll"/>
  <dimension ref="A1:H1"/>
  <sheetViews>
    <sheetView workbookViewId="0">
      <selection activeCell="H79" sqref="H79:H99"/>
    </sheetView>
  </sheetViews>
  <sheetFormatPr defaultColWidth="20.1796875" defaultRowHeight="14.5" x14ac:dyDescent="0.35"/>
  <sheetData>
    <row r="1" spans="1:8" ht="16.5" customHeight="1" x14ac:dyDescent="0.35">
      <c r="A1" s="2" t="s">
        <v>0</v>
      </c>
      <c r="B1" s="2" t="s">
        <v>1</v>
      </c>
      <c r="C1" s="2" t="s">
        <v>2</v>
      </c>
      <c r="D1" s="2" t="s">
        <v>3</v>
      </c>
      <c r="E1" s="2" t="s">
        <v>4</v>
      </c>
      <c r="F1" s="2" t="s">
        <v>5</v>
      </c>
      <c r="G1" s="2" t="s">
        <v>6</v>
      </c>
      <c r="H1" s="2" t="s">
        <v>7</v>
      </c>
    </row>
  </sheetData>
  <autoFilter ref="A1:H1" xr:uid="{CCF743AE-7E6D-405C-88CB-8D83BEF8098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83B33-D983-48B1-A4C0-09E13BF27D3C}">
  <sheetPr codeName="shRegion">
    <tabColor theme="5" tint="0.59999389629810485"/>
  </sheetPr>
  <dimension ref="A1:AU48"/>
  <sheetViews>
    <sheetView showGridLines="0" zoomScaleNormal="100" workbookViewId="0">
      <selection activeCell="A2" sqref="A2:H22"/>
    </sheetView>
  </sheetViews>
  <sheetFormatPr defaultRowHeight="13" x14ac:dyDescent="0.3"/>
  <cols>
    <col min="1" max="5" width="13.81640625" style="6" customWidth="1"/>
    <col min="6" max="6" width="8.6328125" style="6" customWidth="1"/>
    <col min="7" max="13" width="13.81640625" style="6" customWidth="1"/>
    <col min="14" max="17" width="8.7265625" style="6"/>
    <col min="18" max="18" width="3.26953125" style="6" customWidth="1"/>
    <col min="19" max="19" width="19.26953125" style="6" customWidth="1"/>
    <col min="20" max="20" width="13.08984375" style="6" customWidth="1"/>
    <col min="21" max="21" width="15" style="6" customWidth="1"/>
    <col min="22" max="22" width="9.81640625" style="6" customWidth="1"/>
    <col min="23" max="23" width="2.6328125" style="6" customWidth="1"/>
    <col min="24" max="24" width="29.36328125" style="6" bestFit="1" customWidth="1"/>
    <col min="25" max="25" width="21.36328125" style="6" bestFit="1" customWidth="1"/>
    <col min="26" max="26" width="9.81640625" style="6" customWidth="1"/>
    <col min="27" max="27" width="6.26953125" style="6" customWidth="1"/>
    <col min="28" max="28" width="5.26953125" style="6" customWidth="1"/>
    <col min="29" max="29" width="29.36328125" style="6" bestFit="1" customWidth="1"/>
    <col min="30" max="35" width="9.81640625" style="6" customWidth="1"/>
    <col min="36" max="36" width="2.6328125" style="6" customWidth="1"/>
    <col min="37" max="37" width="37.36328125" style="6" customWidth="1"/>
    <col min="38" max="38" width="22.6328125" style="6" bestFit="1" customWidth="1"/>
    <col min="39" max="39" width="15.7265625" style="6" customWidth="1"/>
    <col min="40" max="16384" width="8.7265625" style="6"/>
  </cols>
  <sheetData>
    <row r="1" spans="1:47" ht="27.75" customHeight="1" x14ac:dyDescent="0.3">
      <c r="A1" s="12" t="s">
        <v>69</v>
      </c>
      <c r="B1" s="12" t="s">
        <v>1</v>
      </c>
      <c r="C1" s="12" t="s">
        <v>2</v>
      </c>
      <c r="D1" s="12" t="s">
        <v>70</v>
      </c>
      <c r="E1" s="12" t="s">
        <v>4</v>
      </c>
      <c r="F1" s="12" t="s">
        <v>5</v>
      </c>
      <c r="G1" s="12" t="s">
        <v>6</v>
      </c>
      <c r="H1" s="12" t="s">
        <v>65</v>
      </c>
      <c r="I1" s="12" t="s">
        <v>14</v>
      </c>
      <c r="J1" s="12" t="s">
        <v>31</v>
      </c>
      <c r="K1" s="12" t="s">
        <v>66</v>
      </c>
      <c r="L1" s="12" t="s">
        <v>15</v>
      </c>
      <c r="M1" s="12" t="s">
        <v>67</v>
      </c>
      <c r="R1" s="13"/>
      <c r="S1" s="14" t="s">
        <v>68</v>
      </c>
      <c r="T1" s="15"/>
      <c r="U1" s="16">
        <v>201810</v>
      </c>
      <c r="W1" s="13"/>
      <c r="X1" s="14" t="s">
        <v>71</v>
      </c>
      <c r="Y1" s="15"/>
      <c r="Z1" s="15"/>
      <c r="AA1" s="15"/>
      <c r="AB1" s="15"/>
      <c r="AC1" s="15"/>
      <c r="AD1" s="15"/>
      <c r="AE1" s="15"/>
      <c r="AF1" s="15"/>
      <c r="AG1" s="15"/>
      <c r="AH1" s="17"/>
      <c r="AI1" s="17"/>
      <c r="AJ1" s="18"/>
      <c r="AK1" s="14" t="s">
        <v>72</v>
      </c>
      <c r="AL1" s="14"/>
      <c r="AM1" s="15"/>
      <c r="AN1" s="15"/>
      <c r="AO1" s="15"/>
      <c r="AP1" s="15"/>
      <c r="AQ1" s="15"/>
      <c r="AR1" s="15"/>
      <c r="AS1" s="15"/>
      <c r="AT1" s="15"/>
      <c r="AU1" s="15"/>
    </row>
    <row r="2" spans="1:47" ht="14.5" x14ac:dyDescent="0.35">
      <c r="A2" t="s">
        <v>22</v>
      </c>
      <c r="B2">
        <v>24030</v>
      </c>
      <c r="C2" s="1">
        <v>43375</v>
      </c>
      <c r="D2">
        <v>8020</v>
      </c>
      <c r="E2">
        <v>101</v>
      </c>
      <c r="F2">
        <v>1</v>
      </c>
      <c r="G2">
        <v>130</v>
      </c>
      <c r="H2">
        <v>1560</v>
      </c>
      <c r="I2" s="6" t="str">
        <f>VLOOKUP(A2,MCompany[],2,FALSE)</f>
        <v>Meta Creations</v>
      </c>
      <c r="J2" s="6" t="str">
        <f>VLOOKUP(TableTemp[[#This Row],[Customer Code]],MCustomer[],2,FALSE)</f>
        <v>Erma</v>
      </c>
      <c r="K2" s="6" t="str">
        <f>VLOOKUP(TableTemp[[#This Row],[Article code]],MArticle[],2,FALSE)</f>
        <v>Men type T simple white</v>
      </c>
      <c r="L2" s="6" t="str">
        <f>VLOOKUP(TableTemp[[#This Row],[Article code]],MArticle[],2,FALSE)</f>
        <v>Men type T simple white</v>
      </c>
      <c r="M2" s="19">
        <f>IF(TableTemp[[#This Row],[Currency]]="EUR",ROUND(VLOOKUP(MONTH(TableTemp[[#This Row],[Document Date]]),MExchange[],2,FALSE)*TableTemp[[#This Row],[Sales Local Currency]],2),ROUND(TableTemp[[#This Row],[Sales Local Currency]],2))</f>
        <v>1560</v>
      </c>
    </row>
    <row r="3" spans="1:47" ht="14.5" x14ac:dyDescent="0.35">
      <c r="A3" s="36" t="s">
        <v>22</v>
      </c>
      <c r="B3" s="37">
        <v>24030</v>
      </c>
      <c r="C3" s="38">
        <v>43375</v>
      </c>
      <c r="D3" s="37">
        <v>8020</v>
      </c>
      <c r="E3" s="39">
        <v>102</v>
      </c>
      <c r="F3" s="37"/>
      <c r="G3" s="37">
        <v>30</v>
      </c>
      <c r="H3" s="39">
        <v>360</v>
      </c>
      <c r="I3" s="22" t="str">
        <f>VLOOKUP(A3,MCompany[],2,FALSE)</f>
        <v>Meta Creations</v>
      </c>
      <c r="J3" s="22" t="str">
        <f>VLOOKUP(TableTemp[[#This Row],[Customer Code]],MCustomer[],2,FALSE)</f>
        <v>Erma</v>
      </c>
      <c r="K3" s="22" t="str">
        <f>VLOOKUP(TableTemp[[#This Row],[Article code]],MArticle[],2,FALSE)</f>
        <v>Men type T simple black</v>
      </c>
      <c r="L3" s="22" t="str">
        <f>VLOOKUP(TableTemp[[#This Row],[Article code]],MArticle[],2,FALSE)</f>
        <v>Men type T simple black</v>
      </c>
      <c r="M3" s="23">
        <f>IF(TableTemp[[#This Row],[Currency]]="EUR",ROUND(VLOOKUP(MONTH(TableTemp[[#This Row],[Document Date]]),MExchange[],2,FALSE)*TableTemp[[#This Row],[Sales Local Currency]],2),ROUND(TableTemp[[#This Row],[Sales Local Currency]],2))</f>
        <v>360</v>
      </c>
      <c r="Q3" s="20"/>
      <c r="V3" s="21"/>
      <c r="AG3" s="20"/>
      <c r="AK3" s="24" t="s">
        <v>73</v>
      </c>
      <c r="AL3" s="35" t="s">
        <v>74</v>
      </c>
      <c r="AM3" s="27" t="s">
        <v>75</v>
      </c>
    </row>
    <row r="4" spans="1:47" ht="14.5" x14ac:dyDescent="0.35">
      <c r="A4" s="36" t="s">
        <v>22</v>
      </c>
      <c r="B4" s="37">
        <v>24030</v>
      </c>
      <c r="C4" s="38">
        <v>43375</v>
      </c>
      <c r="D4" s="37">
        <v>8020</v>
      </c>
      <c r="E4" s="39">
        <v>106</v>
      </c>
      <c r="F4" s="37" t="s">
        <v>64</v>
      </c>
      <c r="G4" s="37">
        <v>60</v>
      </c>
      <c r="H4" s="39">
        <v>300</v>
      </c>
      <c r="I4" s="22" t="str">
        <f>VLOOKUP(A4,MCompany[],2,FALSE)</f>
        <v>Meta Creations</v>
      </c>
      <c r="J4" s="22" t="str">
        <f>VLOOKUP(TableTemp[[#This Row],[Customer Code]],MCustomer[],2,FALSE)</f>
        <v>Erma</v>
      </c>
      <c r="K4" s="22" t="str">
        <f>VLOOKUP(TableTemp[[#This Row],[Article code]],MArticle[],2,FALSE)</f>
        <v>Men basics</v>
      </c>
      <c r="L4" s="22" t="str">
        <f>VLOOKUP(TableTemp[[#This Row],[Article code]],MArticle[],2,FALSE)</f>
        <v>Men basics</v>
      </c>
      <c r="M4" s="23">
        <f>IF(TableTemp[[#This Row],[Currency]]="EUR",ROUND(VLOOKUP(MONTH(TableTemp[[#This Row],[Document Date]]),MExchange[],2,FALSE)*TableTemp[[#This Row],[Sales Local Currency]],2),ROUND(TableTemp[[#This Row],[Sales Local Currency]],2))</f>
        <v>300</v>
      </c>
      <c r="Q4" s="20"/>
      <c r="V4" s="21"/>
      <c r="AG4" s="20"/>
      <c r="AK4" s="32" t="s">
        <v>23</v>
      </c>
      <c r="AL4" s="29"/>
      <c r="AM4" s="29"/>
    </row>
    <row r="5" spans="1:47" ht="14.5" x14ac:dyDescent="0.35">
      <c r="A5" s="36" t="s">
        <v>22</v>
      </c>
      <c r="B5" s="37">
        <v>24030</v>
      </c>
      <c r="C5" s="38">
        <v>43375</v>
      </c>
      <c r="D5" s="37">
        <v>8020</v>
      </c>
      <c r="E5" s="39">
        <v>108</v>
      </c>
      <c r="F5" s="37"/>
      <c r="G5" s="37">
        <v>80</v>
      </c>
      <c r="H5" s="39">
        <v>2240</v>
      </c>
      <c r="I5" s="22" t="str">
        <f>VLOOKUP(A5,MCompany[],2,FALSE)</f>
        <v>Meta Creations</v>
      </c>
      <c r="J5" s="22" t="str">
        <f>VLOOKUP(TableTemp[[#This Row],[Customer Code]],MCustomer[],2,FALSE)</f>
        <v>Erma</v>
      </c>
      <c r="K5" s="22" t="str">
        <f>VLOOKUP(TableTemp[[#This Row],[Article code]],MArticle[],2,FALSE)</f>
        <v>Laptop bag black</v>
      </c>
      <c r="L5" s="22" t="str">
        <f>VLOOKUP(TableTemp[[#This Row],[Article code]],MArticle[],2,FALSE)</f>
        <v>Laptop bag black</v>
      </c>
      <c r="M5" s="23">
        <f>IF(TableTemp[[#This Row],[Currency]]="EUR",ROUND(VLOOKUP(MONTH(TableTemp[[#This Row],[Document Date]]),MExchange[],2,FALSE)*TableTemp[[#This Row],[Sales Local Currency]],2),ROUND(TableTemp[[#This Row],[Sales Local Currency]],2))</f>
        <v>2240</v>
      </c>
      <c r="Q5" s="20"/>
      <c r="S5" s="24" t="s">
        <v>76</v>
      </c>
      <c r="T5" s="27" t="s">
        <v>77</v>
      </c>
      <c r="U5" t="s">
        <v>78</v>
      </c>
      <c r="V5" s="21"/>
      <c r="X5" s="24" t="s">
        <v>79</v>
      </c>
      <c r="Y5" s="27" t="s">
        <v>77</v>
      </c>
      <c r="Z5" s="27" t="s">
        <v>80</v>
      </c>
      <c r="AC5" s="24" t="s">
        <v>79</v>
      </c>
      <c r="AD5" s="27" t="s">
        <v>81</v>
      </c>
      <c r="AE5" s="27" t="s">
        <v>82</v>
      </c>
      <c r="AG5" s="20"/>
      <c r="AK5" s="33" t="s">
        <v>33</v>
      </c>
      <c r="AL5" s="29"/>
      <c r="AM5" s="29"/>
    </row>
    <row r="6" spans="1:47" ht="14.5" x14ac:dyDescent="0.35">
      <c r="A6" s="36" t="s">
        <v>22</v>
      </c>
      <c r="B6" s="37">
        <v>24031</v>
      </c>
      <c r="C6" s="38">
        <v>43381</v>
      </c>
      <c r="D6" s="37">
        <v>8020</v>
      </c>
      <c r="E6" s="39">
        <v>101</v>
      </c>
      <c r="F6" s="37" t="s">
        <v>64</v>
      </c>
      <c r="G6" s="37">
        <v>100</v>
      </c>
      <c r="H6" s="39">
        <v>1200</v>
      </c>
      <c r="I6" s="22" t="str">
        <f>VLOOKUP(A6,MCompany[],2,FALSE)</f>
        <v>Meta Creations</v>
      </c>
      <c r="J6" s="22" t="str">
        <f>VLOOKUP(TableTemp[[#This Row],[Customer Code]],MCustomer[],2,FALSE)</f>
        <v>Erma</v>
      </c>
      <c r="K6" s="22" t="str">
        <f>VLOOKUP(TableTemp[[#This Row],[Article code]],MArticle[],2,FALSE)</f>
        <v>Men type T simple white</v>
      </c>
      <c r="L6" s="22" t="str">
        <f>VLOOKUP(TableTemp[[#This Row],[Article code]],MArticle[],2,FALSE)</f>
        <v>Men type T simple white</v>
      </c>
      <c r="M6" s="23">
        <f>IF(TableTemp[[#This Row],[Currency]]="EUR",ROUND(VLOOKUP(MONTH(TableTemp[[#This Row],[Document Date]]),MExchange[],2,FALSE)*TableTemp[[#This Row],[Sales Local Currency]],2),ROUND(TableTemp[[#This Row],[Sales Local Currency]],2))</f>
        <v>1200</v>
      </c>
      <c r="Q6" s="20"/>
      <c r="S6" t="s">
        <v>33</v>
      </c>
      <c r="T6" s="25">
        <v>14620</v>
      </c>
      <c r="U6" s="26">
        <v>0.74439918533604887</v>
      </c>
      <c r="V6" s="21"/>
      <c r="X6" t="s">
        <v>57</v>
      </c>
      <c r="Y6" s="29">
        <v>3780</v>
      </c>
      <c r="Z6" s="30">
        <v>210</v>
      </c>
      <c r="AC6" t="s">
        <v>56</v>
      </c>
      <c r="AD6" s="28">
        <v>6</v>
      </c>
      <c r="AE6" s="31">
        <v>3.7499999999999999E-2</v>
      </c>
      <c r="AG6" s="20"/>
      <c r="AK6" s="34" t="s">
        <v>40</v>
      </c>
      <c r="AL6" s="29">
        <v>3240</v>
      </c>
      <c r="AM6" s="29">
        <v>270</v>
      </c>
    </row>
    <row r="7" spans="1:47" ht="14.5" x14ac:dyDescent="0.35">
      <c r="A7" s="36" t="s">
        <v>22</v>
      </c>
      <c r="B7" s="37">
        <v>24031</v>
      </c>
      <c r="C7" s="38">
        <v>43381</v>
      </c>
      <c r="D7" s="37">
        <v>8020</v>
      </c>
      <c r="E7" s="39">
        <v>108</v>
      </c>
      <c r="F7" s="37" t="s">
        <v>64</v>
      </c>
      <c r="G7" s="37">
        <v>20</v>
      </c>
      <c r="H7" s="39">
        <v>560</v>
      </c>
      <c r="I7" s="22" t="str">
        <f>VLOOKUP(A7,MCompany[],2,FALSE)</f>
        <v>Meta Creations</v>
      </c>
      <c r="J7" s="22" t="str">
        <f>VLOOKUP(TableTemp[[#This Row],[Customer Code]],MCustomer[],2,FALSE)</f>
        <v>Erma</v>
      </c>
      <c r="K7" s="22" t="str">
        <f>VLOOKUP(TableTemp[[#This Row],[Article code]],MArticle[],2,FALSE)</f>
        <v>Laptop bag black</v>
      </c>
      <c r="L7" s="22" t="str">
        <f>VLOOKUP(TableTemp[[#This Row],[Article code]],MArticle[],2,FALSE)</f>
        <v>Laptop bag black</v>
      </c>
      <c r="M7" s="23">
        <f>IF(TableTemp[[#This Row],[Currency]]="EUR",ROUND(VLOOKUP(MONTH(TableTemp[[#This Row],[Document Date]]),MExchange[],2,FALSE)*TableTemp[[#This Row],[Sales Local Currency]],2),ROUND(TableTemp[[#This Row],[Sales Local Currency]],2))</f>
        <v>560</v>
      </c>
      <c r="Q7" s="20"/>
      <c r="S7" t="s">
        <v>32</v>
      </c>
      <c r="T7" s="25">
        <v>5020</v>
      </c>
      <c r="U7" s="26">
        <v>0.25560081466395113</v>
      </c>
      <c r="V7" s="21"/>
      <c r="X7" t="s">
        <v>40</v>
      </c>
      <c r="Y7" s="29">
        <v>3720</v>
      </c>
      <c r="Z7" s="30">
        <v>310</v>
      </c>
      <c r="AC7" t="s">
        <v>53</v>
      </c>
      <c r="AD7" s="28">
        <v>1</v>
      </c>
      <c r="AE7" s="31">
        <v>0.02</v>
      </c>
      <c r="AG7" s="20"/>
      <c r="AK7" s="34" t="s">
        <v>47</v>
      </c>
      <c r="AL7" s="29">
        <v>3080</v>
      </c>
      <c r="AM7" s="29">
        <v>110</v>
      </c>
    </row>
    <row r="8" spans="1:47" ht="14.5" x14ac:dyDescent="0.35">
      <c r="A8" s="36" t="s">
        <v>22</v>
      </c>
      <c r="B8" s="37">
        <v>24031</v>
      </c>
      <c r="C8" s="38">
        <v>43381</v>
      </c>
      <c r="D8" s="37">
        <v>8020</v>
      </c>
      <c r="E8" s="39">
        <v>113</v>
      </c>
      <c r="F8" s="37" t="s">
        <v>64</v>
      </c>
      <c r="G8" s="37">
        <v>100</v>
      </c>
      <c r="H8" s="39">
        <v>2500</v>
      </c>
      <c r="I8" s="22" t="str">
        <f>VLOOKUP(A8,MCompany[],2,FALSE)</f>
        <v>Meta Creations</v>
      </c>
      <c r="J8" s="22" t="str">
        <f>VLOOKUP(TableTemp[[#This Row],[Customer Code]],MCustomer[],2,FALSE)</f>
        <v>Erma</v>
      </c>
      <c r="K8" s="22" t="str">
        <f>VLOOKUP(TableTemp[[#This Row],[Article code]],MArticle[],2,FALSE)</f>
        <v>Men dress shirt black</v>
      </c>
      <c r="L8" s="22" t="str">
        <f>VLOOKUP(TableTemp[[#This Row],[Article code]],MArticle[],2,FALSE)</f>
        <v>Men dress shirt black</v>
      </c>
      <c r="M8" s="23">
        <f>IF(TableTemp[[#This Row],[Currency]]="EUR",ROUND(VLOOKUP(MONTH(TableTemp[[#This Row],[Document Date]]),MExchange[],2,FALSE)*TableTemp[[#This Row],[Sales Local Currency]],2),ROUND(TableTemp[[#This Row],[Sales Local Currency]],2))</f>
        <v>2500</v>
      </c>
      <c r="Q8" s="20"/>
      <c r="S8" t="s">
        <v>83</v>
      </c>
      <c r="T8" s="25">
        <v>19640</v>
      </c>
      <c r="U8" s="26">
        <v>1</v>
      </c>
      <c r="V8" s="21"/>
      <c r="X8" t="s">
        <v>47</v>
      </c>
      <c r="Y8" s="29">
        <v>3080</v>
      </c>
      <c r="Z8" s="30">
        <v>110</v>
      </c>
      <c r="AC8" t="s">
        <v>55</v>
      </c>
      <c r="AD8" s="28">
        <v>1</v>
      </c>
      <c r="AE8" s="31">
        <v>1.6666666666666666E-2</v>
      </c>
      <c r="AG8" s="20"/>
      <c r="AK8" s="34" t="s">
        <v>52</v>
      </c>
      <c r="AL8" s="29">
        <v>2500</v>
      </c>
      <c r="AM8" s="29">
        <v>100</v>
      </c>
    </row>
    <row r="9" spans="1:47" ht="14.5" x14ac:dyDescent="0.35">
      <c r="A9" s="36" t="s">
        <v>22</v>
      </c>
      <c r="B9" s="37">
        <v>28112</v>
      </c>
      <c r="C9" s="38">
        <v>43385</v>
      </c>
      <c r="D9" s="37">
        <v>8020</v>
      </c>
      <c r="E9" s="39">
        <v>114</v>
      </c>
      <c r="F9" s="37">
        <v>1</v>
      </c>
      <c r="G9" s="37">
        <v>50</v>
      </c>
      <c r="H9" s="39">
        <v>1250</v>
      </c>
      <c r="I9" s="22" t="str">
        <f>VLOOKUP(A9,MCompany[],2,FALSE)</f>
        <v>Meta Creations</v>
      </c>
      <c r="J9" s="22" t="str">
        <f>VLOOKUP(TableTemp[[#This Row],[Customer Code]],MCustomer[],2,FALSE)</f>
        <v>Erma</v>
      </c>
      <c r="K9" s="22" t="str">
        <f>VLOOKUP(TableTemp[[#This Row],[Article code]],MArticle[],2,FALSE)</f>
        <v>Men dress shirt grey</v>
      </c>
      <c r="L9" s="22" t="str">
        <f>VLOOKUP(TableTemp[[#This Row],[Article code]],MArticle[],2,FALSE)</f>
        <v>Men dress shirt grey</v>
      </c>
      <c r="M9" s="23">
        <f>IF(TableTemp[[#This Row],[Currency]]="EUR",ROUND(VLOOKUP(MONTH(TableTemp[[#This Row],[Document Date]]),MExchange[],2,FALSE)*TableTemp[[#This Row],[Sales Local Currency]],2),ROUND(TableTemp[[#This Row],[Sales Local Currency]],2))</f>
        <v>1250</v>
      </c>
      <c r="Q9" s="20"/>
      <c r="S9"/>
      <c r="T9"/>
      <c r="U9"/>
      <c r="V9" s="21"/>
      <c r="X9" t="s">
        <v>56</v>
      </c>
      <c r="Y9" s="29">
        <v>2880</v>
      </c>
      <c r="Z9" s="30">
        <v>160</v>
      </c>
      <c r="AC9" t="s">
        <v>40</v>
      </c>
      <c r="AD9" s="28">
        <v>1</v>
      </c>
      <c r="AE9" s="31">
        <v>3.2258064516129032E-3</v>
      </c>
      <c r="AG9" s="20"/>
      <c r="AK9" s="34" t="s">
        <v>56</v>
      </c>
      <c r="AL9" s="29">
        <v>1440</v>
      </c>
      <c r="AM9" s="29">
        <v>80</v>
      </c>
    </row>
    <row r="10" spans="1:47" ht="14.5" x14ac:dyDescent="0.35">
      <c r="A10" s="36" t="s">
        <v>22</v>
      </c>
      <c r="B10" s="37">
        <v>28112</v>
      </c>
      <c r="C10" s="38">
        <v>43385</v>
      </c>
      <c r="D10" s="37">
        <v>8020</v>
      </c>
      <c r="E10" s="39">
        <v>101</v>
      </c>
      <c r="F10" s="37" t="s">
        <v>64</v>
      </c>
      <c r="G10" s="37">
        <v>40</v>
      </c>
      <c r="H10" s="39">
        <v>480</v>
      </c>
      <c r="I10" s="22" t="str">
        <f>VLOOKUP(A10,MCompany[],2,FALSE)</f>
        <v>Meta Creations</v>
      </c>
      <c r="J10" s="22" t="str">
        <f>VLOOKUP(TableTemp[[#This Row],[Customer Code]],MCustomer[],2,FALSE)</f>
        <v>Erma</v>
      </c>
      <c r="K10" s="22" t="str">
        <f>VLOOKUP(TableTemp[[#This Row],[Article code]],MArticle[],2,FALSE)</f>
        <v>Men type T simple white</v>
      </c>
      <c r="L10" s="22" t="str">
        <f>VLOOKUP(TableTemp[[#This Row],[Article code]],MArticle[],2,FALSE)</f>
        <v>Men type T simple white</v>
      </c>
      <c r="M10" s="23">
        <f>IF(TableTemp[[#This Row],[Currency]]="EUR",ROUND(VLOOKUP(MONTH(TableTemp[[#This Row],[Document Date]]),MExchange[],2,FALSE)*TableTemp[[#This Row],[Sales Local Currency]],2),ROUND(TableTemp[[#This Row],[Sales Local Currency]],2))</f>
        <v>480</v>
      </c>
      <c r="Q10" s="20"/>
      <c r="S10"/>
      <c r="T10"/>
      <c r="U10"/>
      <c r="V10" s="21"/>
      <c r="X10" t="s">
        <v>52</v>
      </c>
      <c r="Y10" s="29">
        <v>2500</v>
      </c>
      <c r="Z10" s="30">
        <v>100</v>
      </c>
      <c r="AC10" t="s">
        <v>83</v>
      </c>
      <c r="AD10" s="28">
        <v>9</v>
      </c>
      <c r="AE10" s="31">
        <v>1.5517241379310345E-2</v>
      </c>
      <c r="AG10" s="20"/>
      <c r="AK10" s="34" t="s">
        <v>57</v>
      </c>
      <c r="AL10" s="29">
        <v>1260</v>
      </c>
      <c r="AM10" s="29">
        <v>70</v>
      </c>
    </row>
    <row r="11" spans="1:47" ht="14.5" x14ac:dyDescent="0.35">
      <c r="A11" s="36" t="s">
        <v>22</v>
      </c>
      <c r="B11" s="37">
        <v>28112</v>
      </c>
      <c r="C11" s="38">
        <v>43385</v>
      </c>
      <c r="D11" s="37">
        <v>8020</v>
      </c>
      <c r="E11" s="39">
        <v>102</v>
      </c>
      <c r="F11" s="37"/>
      <c r="G11" s="37">
        <v>70</v>
      </c>
      <c r="H11" s="39">
        <v>840</v>
      </c>
      <c r="I11" s="22" t="str">
        <f>VLOOKUP(A11,MCompany[],2,FALSE)</f>
        <v>Meta Creations</v>
      </c>
      <c r="J11" s="22" t="str">
        <f>VLOOKUP(TableTemp[[#This Row],[Customer Code]],MCustomer[],2,FALSE)</f>
        <v>Erma</v>
      </c>
      <c r="K11" s="22" t="str">
        <f>VLOOKUP(TableTemp[[#This Row],[Article code]],MArticle[],2,FALSE)</f>
        <v>Men type T simple black</v>
      </c>
      <c r="L11" s="22" t="str">
        <f>VLOOKUP(TableTemp[[#This Row],[Article code]],MArticle[],2,FALSE)</f>
        <v>Men type T simple black</v>
      </c>
      <c r="M11" s="23">
        <f>IF(TableTemp[[#This Row],[Currency]]="EUR",ROUND(VLOOKUP(MONTH(TableTemp[[#This Row],[Document Date]]),MExchange[],2,FALSE)*TableTemp[[#This Row],[Sales Local Currency]],2),ROUND(TableTemp[[#This Row],[Sales Local Currency]],2))</f>
        <v>840</v>
      </c>
      <c r="Q11" s="20"/>
      <c r="V11" s="21"/>
      <c r="X11" t="s">
        <v>41</v>
      </c>
      <c r="Y11" s="29">
        <v>1320</v>
      </c>
      <c r="Z11" s="30">
        <v>110</v>
      </c>
      <c r="AC11"/>
      <c r="AD11"/>
      <c r="AE11"/>
      <c r="AG11" s="20"/>
      <c r="AK11" s="34" t="s">
        <v>53</v>
      </c>
      <c r="AL11" s="29">
        <v>1250</v>
      </c>
      <c r="AM11" s="29">
        <v>50</v>
      </c>
    </row>
    <row r="12" spans="1:47" ht="14.5" x14ac:dyDescent="0.35">
      <c r="A12" s="36" t="s">
        <v>22</v>
      </c>
      <c r="B12" s="37">
        <v>28112</v>
      </c>
      <c r="C12" s="38">
        <v>43385</v>
      </c>
      <c r="D12" s="37">
        <v>8020</v>
      </c>
      <c r="E12" s="39">
        <v>106</v>
      </c>
      <c r="F12" s="37"/>
      <c r="G12" s="37">
        <v>70</v>
      </c>
      <c r="H12" s="39">
        <v>350</v>
      </c>
      <c r="I12" s="22" t="str">
        <f>VLOOKUP(A12,MCompany[],2,FALSE)</f>
        <v>Meta Creations</v>
      </c>
      <c r="J12" s="22" t="str">
        <f>VLOOKUP(TableTemp[[#This Row],[Customer Code]],MCustomer[],2,FALSE)</f>
        <v>Erma</v>
      </c>
      <c r="K12" s="22" t="str">
        <f>VLOOKUP(TableTemp[[#This Row],[Article code]],MArticle[],2,FALSE)</f>
        <v>Men basics</v>
      </c>
      <c r="L12" s="22" t="str">
        <f>VLOOKUP(TableTemp[[#This Row],[Article code]],MArticle[],2,FALSE)</f>
        <v>Men basics</v>
      </c>
      <c r="M12" s="23">
        <f>IF(TableTemp[[#This Row],[Currency]]="EUR",ROUND(VLOOKUP(MONTH(TableTemp[[#This Row],[Document Date]]),MExchange[],2,FALSE)*TableTemp[[#This Row],[Sales Local Currency]],2),ROUND(TableTemp[[#This Row],[Sales Local Currency]],2))</f>
        <v>350</v>
      </c>
      <c r="Q12" s="20"/>
      <c r="V12" s="21"/>
      <c r="X12" t="s">
        <v>53</v>
      </c>
      <c r="Y12" s="29">
        <v>1250</v>
      </c>
      <c r="Z12" s="30">
        <v>50</v>
      </c>
      <c r="AC12"/>
      <c r="AD12"/>
      <c r="AE12"/>
      <c r="AG12" s="20"/>
      <c r="AK12" s="34" t="s">
        <v>41</v>
      </c>
      <c r="AL12" s="29">
        <v>1200</v>
      </c>
      <c r="AM12" s="29">
        <v>100</v>
      </c>
    </row>
    <row r="13" spans="1:47" ht="14.5" x14ac:dyDescent="0.35">
      <c r="A13" s="36" t="s">
        <v>22</v>
      </c>
      <c r="B13" s="37">
        <v>28112</v>
      </c>
      <c r="C13" s="38">
        <v>43385</v>
      </c>
      <c r="D13" s="37">
        <v>8020</v>
      </c>
      <c r="E13" s="39">
        <v>108</v>
      </c>
      <c r="F13" s="37"/>
      <c r="G13" s="37">
        <v>10</v>
      </c>
      <c r="H13" s="39">
        <v>280</v>
      </c>
      <c r="I13" s="22" t="str">
        <f>VLOOKUP(A13,MCompany[],2,FALSE)</f>
        <v>Meta Creations</v>
      </c>
      <c r="J13" s="22" t="str">
        <f>VLOOKUP(TableTemp[[#This Row],[Customer Code]],MCustomer[],2,FALSE)</f>
        <v>Erma</v>
      </c>
      <c r="K13" s="22" t="str">
        <f>VLOOKUP(TableTemp[[#This Row],[Article code]],MArticle[],2,FALSE)</f>
        <v>Laptop bag black</v>
      </c>
      <c r="L13" s="22" t="str">
        <f>VLOOKUP(TableTemp[[#This Row],[Article code]],MArticle[],2,FALSE)</f>
        <v>Laptop bag black</v>
      </c>
      <c r="M13" s="23">
        <f>IF(TableTemp[[#This Row],[Currency]]="EUR",ROUND(VLOOKUP(MONTH(TableTemp[[#This Row],[Document Date]]),MExchange[],2,FALSE)*TableTemp[[#This Row],[Sales Local Currency]],2),ROUND(TableTemp[[#This Row],[Sales Local Currency]],2))</f>
        <v>280</v>
      </c>
      <c r="Q13" s="20"/>
      <c r="V13" s="21"/>
      <c r="X13" t="s">
        <v>45</v>
      </c>
      <c r="Y13" s="29">
        <v>750</v>
      </c>
      <c r="Z13" s="30">
        <v>150</v>
      </c>
      <c r="AC13"/>
      <c r="AD13"/>
      <c r="AE13"/>
      <c r="AG13" s="20"/>
      <c r="AK13" s="34" t="s">
        <v>45</v>
      </c>
      <c r="AL13" s="29">
        <v>650</v>
      </c>
      <c r="AM13" s="29">
        <v>130</v>
      </c>
    </row>
    <row r="14" spans="1:47" ht="14.5" x14ac:dyDescent="0.35">
      <c r="A14" s="36" t="s">
        <v>22</v>
      </c>
      <c r="B14" s="37">
        <v>28112</v>
      </c>
      <c r="C14" s="38">
        <v>43385</v>
      </c>
      <c r="D14" s="37">
        <v>8020</v>
      </c>
      <c r="E14" s="39">
        <v>117</v>
      </c>
      <c r="F14" s="37"/>
      <c r="G14" s="37">
        <v>80</v>
      </c>
      <c r="H14" s="39">
        <v>1440</v>
      </c>
      <c r="I14" s="22" t="str">
        <f>VLOOKUP(A14,MCompany[],2,FALSE)</f>
        <v>Meta Creations</v>
      </c>
      <c r="J14" s="22" t="str">
        <f>VLOOKUP(TableTemp[[#This Row],[Customer Code]],MCustomer[],2,FALSE)</f>
        <v>Erma</v>
      </c>
      <c r="K14" s="22" t="str">
        <f>VLOOKUP(TableTemp[[#This Row],[Article code]],MArticle[],2,FALSE)</f>
        <v>Men shorts grey</v>
      </c>
      <c r="L14" s="22" t="str">
        <f>VLOOKUP(TableTemp[[#This Row],[Article code]],MArticle[],2,FALSE)</f>
        <v>Men shorts grey</v>
      </c>
      <c r="M14" s="23">
        <f>IF(TableTemp[[#This Row],[Currency]]="EUR",ROUND(VLOOKUP(MONTH(TableTemp[[#This Row],[Document Date]]),MExchange[],2,FALSE)*TableTemp[[#This Row],[Sales Local Currency]],2),ROUND(TableTemp[[#This Row],[Sales Local Currency]],2))</f>
        <v>1440</v>
      </c>
      <c r="Q14" s="20"/>
      <c r="V14" s="21"/>
      <c r="X14" t="s">
        <v>55</v>
      </c>
      <c r="Y14" s="29">
        <v>360</v>
      </c>
      <c r="Z14" s="30">
        <v>60</v>
      </c>
      <c r="AC14"/>
      <c r="AD14"/>
      <c r="AE14"/>
      <c r="AG14" s="20"/>
      <c r="AK14" s="33" t="s">
        <v>85</v>
      </c>
      <c r="AL14" s="29">
        <v>14620</v>
      </c>
      <c r="AM14" s="29">
        <v>910</v>
      </c>
    </row>
    <row r="15" spans="1:47" ht="14.5" x14ac:dyDescent="0.35">
      <c r="A15" s="36" t="s">
        <v>22</v>
      </c>
      <c r="B15" s="37">
        <v>28112</v>
      </c>
      <c r="C15" s="38">
        <v>43385</v>
      </c>
      <c r="D15" s="37">
        <v>8020</v>
      </c>
      <c r="E15" s="39">
        <v>118</v>
      </c>
      <c r="F15" s="37"/>
      <c r="G15" s="37">
        <v>70</v>
      </c>
      <c r="H15" s="39">
        <v>1260</v>
      </c>
      <c r="I15" s="22" t="str">
        <f>VLOOKUP(A15,MCompany[],2,FALSE)</f>
        <v>Meta Creations</v>
      </c>
      <c r="J15" s="22" t="str">
        <f>VLOOKUP(TableTemp[[#This Row],[Customer Code]],MCustomer[],2,FALSE)</f>
        <v>Erma</v>
      </c>
      <c r="K15" s="22" t="str">
        <f>VLOOKUP(TableTemp[[#This Row],[Article code]],MArticle[],2,FALSE)</f>
        <v>Men shorts black</v>
      </c>
      <c r="L15" s="22" t="str">
        <f>VLOOKUP(TableTemp[[#This Row],[Article code]],MArticle[],2,FALSE)</f>
        <v>Men shorts black</v>
      </c>
      <c r="M15" s="23">
        <f>IF(TableTemp[[#This Row],[Currency]]="EUR",ROUND(VLOOKUP(MONTH(TableTemp[[#This Row],[Document Date]]),MExchange[],2,FALSE)*TableTemp[[#This Row],[Sales Local Currency]],2),ROUND(TableTemp[[#This Row],[Sales Local Currency]],2))</f>
        <v>1260</v>
      </c>
      <c r="Q15" s="20"/>
      <c r="V15" s="21"/>
      <c r="X15" t="s">
        <v>83</v>
      </c>
      <c r="Y15" s="29">
        <v>19640</v>
      </c>
      <c r="Z15" s="30">
        <v>1260</v>
      </c>
      <c r="AG15" s="20"/>
      <c r="AK15" s="33" t="s">
        <v>32</v>
      </c>
      <c r="AL15" s="29"/>
      <c r="AM15" s="29"/>
    </row>
    <row r="16" spans="1:47" ht="14.5" x14ac:dyDescent="0.35">
      <c r="A16" s="36" t="s">
        <v>22</v>
      </c>
      <c r="B16" s="37">
        <v>25442</v>
      </c>
      <c r="C16" s="38">
        <v>43389</v>
      </c>
      <c r="D16" s="37">
        <v>8010</v>
      </c>
      <c r="E16" s="39">
        <v>118</v>
      </c>
      <c r="F16" s="37"/>
      <c r="G16" s="37">
        <v>70</v>
      </c>
      <c r="H16" s="39">
        <v>1260</v>
      </c>
      <c r="I16" s="22" t="str">
        <f>VLOOKUP(A16,MCompany[],2,FALSE)</f>
        <v>Meta Creations</v>
      </c>
      <c r="J16" s="22" t="str">
        <f>VLOOKUP(TableTemp[[#This Row],[Customer Code]],MCustomer[],2,FALSE)</f>
        <v>Dellicia</v>
      </c>
      <c r="K16" s="22" t="str">
        <f>VLOOKUP(TableTemp[[#This Row],[Article code]],MArticle[],2,FALSE)</f>
        <v>Men shorts black</v>
      </c>
      <c r="L16" s="22" t="str">
        <f>VLOOKUP(TableTemp[[#This Row],[Article code]],MArticle[],2,FALSE)</f>
        <v>Men shorts black</v>
      </c>
      <c r="M16" s="23">
        <f>IF(TableTemp[[#This Row],[Currency]]="EUR",ROUND(VLOOKUP(MONTH(TableTemp[[#This Row],[Document Date]]),MExchange[],2,FALSE)*TableTemp[[#This Row],[Sales Local Currency]],2),ROUND(TableTemp[[#This Row],[Sales Local Currency]],2))</f>
        <v>1260</v>
      </c>
      <c r="Q16" s="20"/>
      <c r="V16" s="21"/>
      <c r="X16"/>
      <c r="Y16"/>
      <c r="Z16"/>
      <c r="AG16" s="20"/>
      <c r="AK16" s="34" t="s">
        <v>57</v>
      </c>
      <c r="AL16" s="29">
        <v>2520</v>
      </c>
      <c r="AM16" s="29">
        <v>140</v>
      </c>
    </row>
    <row r="17" spans="1:39" ht="14.5" x14ac:dyDescent="0.35">
      <c r="A17" s="36" t="s">
        <v>22</v>
      </c>
      <c r="B17" s="37">
        <v>25442</v>
      </c>
      <c r="C17" s="38">
        <v>43389</v>
      </c>
      <c r="D17" s="37">
        <v>8010</v>
      </c>
      <c r="E17" s="39">
        <v>117</v>
      </c>
      <c r="F17" s="37">
        <v>6</v>
      </c>
      <c r="G17" s="37">
        <v>80</v>
      </c>
      <c r="H17" s="39">
        <v>1440</v>
      </c>
      <c r="I17" s="22" t="str">
        <f>VLOOKUP(A17,MCompany[],2,FALSE)</f>
        <v>Meta Creations</v>
      </c>
      <c r="J17" s="22" t="str">
        <f>VLOOKUP(TableTemp[[#This Row],[Customer Code]],MCustomer[],2,FALSE)</f>
        <v>Dellicia</v>
      </c>
      <c r="K17" s="22" t="str">
        <f>VLOOKUP(TableTemp[[#This Row],[Article code]],MArticle[],2,FALSE)</f>
        <v>Men shorts grey</v>
      </c>
      <c r="L17" s="22" t="str">
        <f>VLOOKUP(TableTemp[[#This Row],[Article code]],MArticle[],2,FALSE)</f>
        <v>Men shorts grey</v>
      </c>
      <c r="M17" s="23">
        <f>IF(TableTemp[[#This Row],[Currency]]="EUR",ROUND(VLOOKUP(MONTH(TableTemp[[#This Row],[Document Date]]),MExchange[],2,FALSE)*TableTemp[[#This Row],[Sales Local Currency]],2),ROUND(TableTemp[[#This Row],[Sales Local Currency]],2))</f>
        <v>1440</v>
      </c>
      <c r="Q17" s="20"/>
      <c r="V17" s="21"/>
      <c r="X17"/>
      <c r="Y17"/>
      <c r="Z17"/>
      <c r="AG17" s="20"/>
      <c r="AK17" s="34" t="s">
        <v>56</v>
      </c>
      <c r="AL17" s="29">
        <v>1440</v>
      </c>
      <c r="AM17" s="29">
        <v>80</v>
      </c>
    </row>
    <row r="18" spans="1:39" ht="14.5" x14ac:dyDescent="0.35">
      <c r="A18" s="36" t="s">
        <v>22</v>
      </c>
      <c r="B18" s="37">
        <v>25442</v>
      </c>
      <c r="C18" s="38">
        <v>43389</v>
      </c>
      <c r="D18" s="37">
        <v>8010</v>
      </c>
      <c r="E18" s="39">
        <v>118</v>
      </c>
      <c r="F18" s="37"/>
      <c r="G18" s="37">
        <v>70</v>
      </c>
      <c r="H18" s="39">
        <v>1260</v>
      </c>
      <c r="I18" s="22" t="str">
        <f>VLOOKUP(A18,MCompany[],2,FALSE)</f>
        <v>Meta Creations</v>
      </c>
      <c r="J18" s="22" t="str">
        <f>VLOOKUP(TableTemp[[#This Row],[Customer Code]],MCustomer[],2,FALSE)</f>
        <v>Dellicia</v>
      </c>
      <c r="K18" s="22" t="str">
        <f>VLOOKUP(TableTemp[[#This Row],[Article code]],MArticle[],2,FALSE)</f>
        <v>Men shorts black</v>
      </c>
      <c r="L18" s="22" t="str">
        <f>VLOOKUP(TableTemp[[#This Row],[Article code]],MArticle[],2,FALSE)</f>
        <v>Men shorts black</v>
      </c>
      <c r="M18" s="23">
        <f>IF(TableTemp[[#This Row],[Currency]]="EUR",ROUND(VLOOKUP(MONTH(TableTemp[[#This Row],[Document Date]]),MExchange[],2,FALSE)*TableTemp[[#This Row],[Sales Local Currency]],2),ROUND(TableTemp[[#This Row],[Sales Local Currency]],2))</f>
        <v>1260</v>
      </c>
      <c r="Q18" s="20"/>
      <c r="V18" s="21"/>
      <c r="X18"/>
      <c r="Y18"/>
      <c r="Z18"/>
      <c r="AG18" s="20"/>
      <c r="AK18" s="34" t="s">
        <v>40</v>
      </c>
      <c r="AL18" s="29">
        <v>480</v>
      </c>
      <c r="AM18" s="29">
        <v>40</v>
      </c>
    </row>
    <row r="19" spans="1:39" ht="14.5" x14ac:dyDescent="0.35">
      <c r="A19" s="36" t="s">
        <v>22</v>
      </c>
      <c r="B19" s="37">
        <v>25442</v>
      </c>
      <c r="C19" s="38">
        <v>43389</v>
      </c>
      <c r="D19" s="37">
        <v>8010</v>
      </c>
      <c r="E19" s="39">
        <v>116</v>
      </c>
      <c r="F19" s="37">
        <v>1</v>
      </c>
      <c r="G19" s="37">
        <v>60</v>
      </c>
      <c r="H19" s="39">
        <v>360</v>
      </c>
      <c r="I19" s="22" t="str">
        <f>VLOOKUP(A19,MCompany[],2,FALSE)</f>
        <v>Meta Creations</v>
      </c>
      <c r="J19" s="22" t="str">
        <f>VLOOKUP(TableTemp[[#This Row],[Customer Code]],MCustomer[],2,FALSE)</f>
        <v>Dellicia</v>
      </c>
      <c r="K19" s="22" t="str">
        <f>VLOOKUP(TableTemp[[#This Row],[Article code]],MArticle[],2,FALSE)</f>
        <v>Unisex tank top white</v>
      </c>
      <c r="L19" s="22" t="str">
        <f>VLOOKUP(TableTemp[[#This Row],[Article code]],MArticle[],2,FALSE)</f>
        <v>Unisex tank top white</v>
      </c>
      <c r="M19" s="23">
        <f>IF(TableTemp[[#This Row],[Currency]]="EUR",ROUND(VLOOKUP(MONTH(TableTemp[[#This Row],[Document Date]]),MExchange[],2,FALSE)*TableTemp[[#This Row],[Sales Local Currency]],2),ROUND(TableTemp[[#This Row],[Sales Local Currency]],2))</f>
        <v>360</v>
      </c>
      <c r="Q19" s="20"/>
      <c r="V19" s="21"/>
      <c r="X19"/>
      <c r="Y19"/>
      <c r="Z19"/>
      <c r="AG19" s="20"/>
      <c r="AK19" s="34" t="s">
        <v>55</v>
      </c>
      <c r="AL19" s="29">
        <v>360</v>
      </c>
      <c r="AM19" s="29">
        <v>60</v>
      </c>
    </row>
    <row r="20" spans="1:39" ht="14.5" x14ac:dyDescent="0.35">
      <c r="A20" s="36" t="s">
        <v>22</v>
      </c>
      <c r="B20" s="37">
        <v>25442</v>
      </c>
      <c r="C20" s="38">
        <v>43389</v>
      </c>
      <c r="D20" s="37">
        <v>8010</v>
      </c>
      <c r="E20" s="39">
        <v>106</v>
      </c>
      <c r="F20" s="37"/>
      <c r="G20" s="37">
        <v>20</v>
      </c>
      <c r="H20" s="39">
        <v>100</v>
      </c>
      <c r="I20" s="22" t="str">
        <f>VLOOKUP(A20,MCompany[],2,FALSE)</f>
        <v>Meta Creations</v>
      </c>
      <c r="J20" s="22" t="str">
        <f>VLOOKUP(TableTemp[[#This Row],[Customer Code]],MCustomer[],2,FALSE)</f>
        <v>Dellicia</v>
      </c>
      <c r="K20" s="22" t="str">
        <f>VLOOKUP(TableTemp[[#This Row],[Article code]],MArticle[],2,FALSE)</f>
        <v>Men basics</v>
      </c>
      <c r="L20" s="22" t="str">
        <f>VLOOKUP(TableTemp[[#This Row],[Article code]],MArticle[],2,FALSE)</f>
        <v>Men basics</v>
      </c>
      <c r="M20" s="23">
        <f>IF(TableTemp[[#This Row],[Currency]]="EUR",ROUND(VLOOKUP(MONTH(TableTemp[[#This Row],[Document Date]]),MExchange[],2,FALSE)*TableTemp[[#This Row],[Sales Local Currency]],2),ROUND(TableTemp[[#This Row],[Sales Local Currency]],2))</f>
        <v>100</v>
      </c>
      <c r="Q20" s="20"/>
      <c r="V20" s="21"/>
      <c r="AG20" s="20"/>
      <c r="AK20" s="34" t="s">
        <v>41</v>
      </c>
      <c r="AL20" s="29">
        <v>120</v>
      </c>
      <c r="AM20" s="29">
        <v>10</v>
      </c>
    </row>
    <row r="21" spans="1:39" ht="14.5" x14ac:dyDescent="0.35">
      <c r="A21" s="36" t="s">
        <v>22</v>
      </c>
      <c r="B21" s="37">
        <v>25442</v>
      </c>
      <c r="C21" s="38">
        <v>43389</v>
      </c>
      <c r="D21" s="37">
        <v>8010</v>
      </c>
      <c r="E21" s="39">
        <v>101</v>
      </c>
      <c r="F21" s="37"/>
      <c r="G21" s="37">
        <v>40</v>
      </c>
      <c r="H21" s="39">
        <v>480</v>
      </c>
      <c r="I21" s="22" t="str">
        <f>VLOOKUP(A21,MCompany[],2,FALSE)</f>
        <v>Meta Creations</v>
      </c>
      <c r="J21" s="22" t="str">
        <f>VLOOKUP(TableTemp[[#This Row],[Customer Code]],MCustomer[],2,FALSE)</f>
        <v>Dellicia</v>
      </c>
      <c r="K21" s="22" t="str">
        <f>VLOOKUP(TableTemp[[#This Row],[Article code]],MArticle[],2,FALSE)</f>
        <v>Men type T simple white</v>
      </c>
      <c r="L21" s="22" t="str">
        <f>VLOOKUP(TableTemp[[#This Row],[Article code]],MArticle[],2,FALSE)</f>
        <v>Men type T simple white</v>
      </c>
      <c r="M21" s="23">
        <f>IF(TableTemp[[#This Row],[Currency]]="EUR",ROUND(VLOOKUP(MONTH(TableTemp[[#This Row],[Document Date]]),MExchange[],2,FALSE)*TableTemp[[#This Row],[Sales Local Currency]],2),ROUND(TableTemp[[#This Row],[Sales Local Currency]],2))</f>
        <v>480</v>
      </c>
      <c r="Q21" s="20"/>
      <c r="V21" s="21"/>
      <c r="AG21" s="20"/>
      <c r="AK21" s="34" t="s">
        <v>45</v>
      </c>
      <c r="AL21" s="29">
        <v>100</v>
      </c>
      <c r="AM21" s="29">
        <v>20</v>
      </c>
    </row>
    <row r="22" spans="1:39" ht="14.5" x14ac:dyDescent="0.35">
      <c r="A22" s="36" t="s">
        <v>22</v>
      </c>
      <c r="B22" s="37">
        <v>25442</v>
      </c>
      <c r="C22" s="38">
        <v>43389</v>
      </c>
      <c r="D22" s="37">
        <v>8010</v>
      </c>
      <c r="E22" s="39">
        <v>102</v>
      </c>
      <c r="F22" s="37"/>
      <c r="G22" s="37">
        <v>10</v>
      </c>
      <c r="H22" s="39">
        <v>120</v>
      </c>
      <c r="I22" s="22" t="str">
        <f>VLOOKUP(A22,MCompany[],2,FALSE)</f>
        <v>Meta Creations</v>
      </c>
      <c r="J22" s="22" t="str">
        <f>VLOOKUP(TableTemp[[#This Row],[Customer Code]],MCustomer[],2,FALSE)</f>
        <v>Dellicia</v>
      </c>
      <c r="K22" s="22" t="str">
        <f>VLOOKUP(TableTemp[[#This Row],[Article code]],MArticle[],2,FALSE)</f>
        <v>Men type T simple black</v>
      </c>
      <c r="L22" s="22" t="str">
        <f>VLOOKUP(TableTemp[[#This Row],[Article code]],MArticle[],2,FALSE)</f>
        <v>Men type T simple black</v>
      </c>
      <c r="M22" s="23">
        <f>IF(TableTemp[[#This Row],[Currency]]="EUR",ROUND(VLOOKUP(MONTH(TableTemp[[#This Row],[Document Date]]),MExchange[],2,FALSE)*TableTemp[[#This Row],[Sales Local Currency]],2),ROUND(TableTemp[[#This Row],[Sales Local Currency]],2))</f>
        <v>120</v>
      </c>
      <c r="Q22" s="20"/>
      <c r="V22" s="21"/>
      <c r="AG22" s="20"/>
      <c r="AK22" s="33" t="s">
        <v>86</v>
      </c>
      <c r="AL22" s="29">
        <v>5020</v>
      </c>
      <c r="AM22" s="29">
        <v>350</v>
      </c>
    </row>
    <row r="23" spans="1:39" ht="14.5" x14ac:dyDescent="0.35">
      <c r="Q23" s="20"/>
      <c r="V23" s="21"/>
      <c r="AG23" s="20"/>
      <c r="AK23" s="32" t="s">
        <v>87</v>
      </c>
      <c r="AL23" s="29">
        <v>19640</v>
      </c>
      <c r="AM23" s="29">
        <v>1260</v>
      </c>
    </row>
    <row r="24" spans="1:39" ht="14.5" x14ac:dyDescent="0.35">
      <c r="Q24" s="20"/>
      <c r="V24" s="21"/>
      <c r="AG24" s="20"/>
      <c r="AK24" s="32" t="s">
        <v>83</v>
      </c>
      <c r="AL24" s="29">
        <v>19640</v>
      </c>
      <c r="AM24" s="29">
        <v>1260</v>
      </c>
    </row>
    <row r="25" spans="1:39" ht="14.5" x14ac:dyDescent="0.35">
      <c r="Q25" s="20"/>
      <c r="V25" s="21"/>
      <c r="AG25" s="20"/>
      <c r="AK25"/>
      <c r="AL25"/>
      <c r="AM25"/>
    </row>
    <row r="26" spans="1:39" ht="14.5" x14ac:dyDescent="0.35">
      <c r="Q26" s="20"/>
      <c r="V26" s="21"/>
      <c r="AG26" s="20"/>
      <c r="AK26"/>
      <c r="AL26"/>
      <c r="AM26"/>
    </row>
    <row r="27" spans="1:39" ht="14.5" x14ac:dyDescent="0.35">
      <c r="Q27" s="20"/>
      <c r="V27" s="21"/>
      <c r="AG27" s="20"/>
      <c r="AK27"/>
      <c r="AL27"/>
      <c r="AM27"/>
    </row>
    <row r="28" spans="1:39" ht="14.5" x14ac:dyDescent="0.35">
      <c r="Q28" s="20"/>
      <c r="V28" s="21"/>
      <c r="AG28" s="20"/>
      <c r="AK28"/>
      <c r="AL28"/>
      <c r="AM28"/>
    </row>
    <row r="29" spans="1:39" ht="14.5" x14ac:dyDescent="0.35">
      <c r="Q29" s="20"/>
      <c r="V29" s="21"/>
      <c r="AG29" s="20"/>
      <c r="AK29"/>
      <c r="AL29"/>
      <c r="AM29"/>
    </row>
    <row r="30" spans="1:39" ht="14.5" x14ac:dyDescent="0.35">
      <c r="Q30" s="20"/>
      <c r="V30" s="21"/>
      <c r="AG30" s="20"/>
      <c r="AK30"/>
      <c r="AL30"/>
      <c r="AM30"/>
    </row>
    <row r="31" spans="1:39" ht="14.5" x14ac:dyDescent="0.35">
      <c r="Q31" s="20"/>
      <c r="V31" s="21"/>
      <c r="AG31" s="20"/>
      <c r="AK31"/>
      <c r="AL31"/>
      <c r="AM31"/>
    </row>
    <row r="32" spans="1:39" ht="14.5" x14ac:dyDescent="0.35">
      <c r="Q32" s="20"/>
      <c r="V32" s="21"/>
      <c r="AG32" s="20"/>
      <c r="AK32"/>
      <c r="AL32"/>
      <c r="AM32"/>
    </row>
    <row r="33" spans="17:39" ht="14.5" x14ac:dyDescent="0.35">
      <c r="Q33" s="20"/>
      <c r="V33" s="21"/>
      <c r="AG33" s="20"/>
      <c r="AK33"/>
      <c r="AL33"/>
      <c r="AM33"/>
    </row>
    <row r="34" spans="17:39" ht="14.5" x14ac:dyDescent="0.35">
      <c r="Q34" s="20"/>
      <c r="V34" s="21"/>
      <c r="AG34" s="20"/>
      <c r="AK34"/>
      <c r="AL34"/>
      <c r="AM34"/>
    </row>
    <row r="35" spans="17:39" ht="14.5" x14ac:dyDescent="0.35">
      <c r="Q35" s="20"/>
      <c r="V35" s="21"/>
      <c r="AG35" s="20"/>
      <c r="AK35"/>
      <c r="AL35"/>
      <c r="AM35"/>
    </row>
    <row r="36" spans="17:39" ht="14.5" x14ac:dyDescent="0.35">
      <c r="Q36" s="20"/>
      <c r="V36" s="21"/>
      <c r="AG36" s="20"/>
      <c r="AK36"/>
      <c r="AL36"/>
      <c r="AM36"/>
    </row>
    <row r="37" spans="17:39" ht="14.5" x14ac:dyDescent="0.35">
      <c r="Q37" s="20"/>
      <c r="V37" s="21"/>
      <c r="AG37" s="20"/>
      <c r="AK37"/>
      <c r="AL37"/>
      <c r="AM37"/>
    </row>
    <row r="38" spans="17:39" ht="14.5" x14ac:dyDescent="0.35">
      <c r="V38" s="21"/>
      <c r="AG38" s="20"/>
      <c r="AK38"/>
      <c r="AL38"/>
      <c r="AM38"/>
    </row>
    <row r="39" spans="17:39" ht="14.5" x14ac:dyDescent="0.35">
      <c r="AK39"/>
      <c r="AL39"/>
      <c r="AM39"/>
    </row>
    <row r="40" spans="17:39" ht="14.5" x14ac:dyDescent="0.35">
      <c r="AK40"/>
      <c r="AL40"/>
      <c r="AM40"/>
    </row>
    <row r="41" spans="17:39" ht="14.5" x14ac:dyDescent="0.35">
      <c r="AK41"/>
      <c r="AL41"/>
      <c r="AM41"/>
    </row>
    <row r="42" spans="17:39" ht="14.5" x14ac:dyDescent="0.35">
      <c r="AK42"/>
      <c r="AL42"/>
      <c r="AM42"/>
    </row>
    <row r="43" spans="17:39" ht="14.5" x14ac:dyDescent="0.35">
      <c r="AK43"/>
      <c r="AL43"/>
      <c r="AM43"/>
    </row>
    <row r="44" spans="17:39" ht="14.5" x14ac:dyDescent="0.35">
      <c r="AK44"/>
      <c r="AL44"/>
      <c r="AM44"/>
    </row>
    <row r="45" spans="17:39" ht="14.5" x14ac:dyDescent="0.35">
      <c r="AK45"/>
      <c r="AL45"/>
      <c r="AM45"/>
    </row>
    <row r="46" spans="17:39" ht="14.5" x14ac:dyDescent="0.35">
      <c r="AK46"/>
      <c r="AL46"/>
      <c r="AM46"/>
    </row>
    <row r="47" spans="17:39" ht="14.5" x14ac:dyDescent="0.35">
      <c r="AK47"/>
      <c r="AL47"/>
      <c r="AM47"/>
    </row>
    <row r="48" spans="17:39" ht="14.5" x14ac:dyDescent="0.35">
      <c r="AK48"/>
      <c r="AL48"/>
      <c r="AM48"/>
    </row>
  </sheetData>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24436-F66A-49F9-8509-1523BEBCBECB}">
  <sheetPr codeName="shMap"/>
  <dimension ref="A1:J68"/>
  <sheetViews>
    <sheetView showGridLines="0" workbookViewId="0"/>
  </sheetViews>
  <sheetFormatPr defaultRowHeight="13" x14ac:dyDescent="0.3"/>
  <cols>
    <col min="1" max="1" width="8.7265625" style="6" customWidth="1"/>
    <col min="2" max="2" width="21.7265625" style="6" customWidth="1"/>
    <col min="3" max="3" width="19.26953125" style="6" customWidth="1"/>
    <col min="4" max="4" width="15.08984375" style="6" customWidth="1"/>
    <col min="5" max="5" width="8.7265625" style="6"/>
    <col min="6" max="6" width="29.81640625" style="6" customWidth="1"/>
    <col min="7" max="7" width="13.7265625" style="6" customWidth="1"/>
    <col min="8" max="13" width="8.7265625" style="6"/>
    <col min="14" max="14" width="22.6328125" style="6" customWidth="1"/>
    <col min="15" max="16384" width="8.7265625" style="6"/>
  </cols>
  <sheetData>
    <row r="1" spans="1:10" x14ac:dyDescent="0.3">
      <c r="A1" s="5"/>
      <c r="B1" s="5"/>
      <c r="C1" s="5"/>
      <c r="D1" s="5"/>
      <c r="E1" s="5"/>
      <c r="F1" s="5"/>
      <c r="G1" s="5"/>
      <c r="H1" s="5"/>
      <c r="I1" s="5"/>
      <c r="J1" s="5"/>
    </row>
    <row r="2" spans="1:10" ht="14.5" x14ac:dyDescent="0.35">
      <c r="A2" s="7"/>
      <c r="B2" s="7" t="s">
        <v>10</v>
      </c>
      <c r="C2" s="7"/>
      <c r="D2" s="7"/>
      <c r="E2" s="7"/>
      <c r="F2" s="7"/>
      <c r="G2" s="7"/>
      <c r="H2" s="7"/>
      <c r="I2" s="7"/>
      <c r="J2" s="7"/>
    </row>
    <row r="3" spans="1:10" ht="14.5" x14ac:dyDescent="0.35">
      <c r="A3" s="7"/>
      <c r="B3" s="7" t="s">
        <v>11</v>
      </c>
      <c r="C3" s="7"/>
      <c r="D3" s="7"/>
      <c r="E3" s="7"/>
      <c r="F3" s="7"/>
      <c r="G3" s="7"/>
      <c r="H3" s="7"/>
      <c r="I3" s="7"/>
      <c r="J3" s="7"/>
    </row>
    <row r="4" spans="1:10" x14ac:dyDescent="0.3">
      <c r="A4" s="5"/>
      <c r="B4" s="5"/>
      <c r="C4" s="5"/>
      <c r="D4" s="5"/>
      <c r="E4" s="5"/>
      <c r="F4" s="5"/>
      <c r="G4" s="5"/>
      <c r="H4" s="5"/>
      <c r="I4" s="5"/>
      <c r="J4" s="5"/>
    </row>
    <row r="6" spans="1:10" x14ac:dyDescent="0.3">
      <c r="A6" s="8" t="s">
        <v>12</v>
      </c>
      <c r="B6" s="8"/>
      <c r="C6" s="8"/>
      <c r="D6" s="8"/>
      <c r="E6" s="8"/>
      <c r="F6" s="8"/>
      <c r="G6" s="8"/>
      <c r="H6" s="8"/>
      <c r="I6" s="8"/>
      <c r="J6" s="8"/>
    </row>
    <row r="8" spans="1:10" ht="26.25" customHeight="1" x14ac:dyDescent="0.3">
      <c r="B8" s="9" t="s">
        <v>13</v>
      </c>
      <c r="C8" s="10" t="s">
        <v>14</v>
      </c>
      <c r="D8" s="10" t="s">
        <v>15</v>
      </c>
      <c r="E8" s="10" t="s">
        <v>16</v>
      </c>
      <c r="G8" s="10" t="s">
        <v>17</v>
      </c>
    </row>
    <row r="9" spans="1:10" x14ac:dyDescent="0.3">
      <c r="B9" s="6" t="s">
        <v>18</v>
      </c>
      <c r="C9" s="6" t="s">
        <v>19</v>
      </c>
      <c r="D9" s="6" t="s">
        <v>20</v>
      </c>
      <c r="E9" s="6" t="s">
        <v>21</v>
      </c>
      <c r="G9" s="6" t="s">
        <v>21</v>
      </c>
    </row>
    <row r="10" spans="1:10" x14ac:dyDescent="0.3">
      <c r="B10" s="6" t="s">
        <v>22</v>
      </c>
      <c r="C10" s="6" t="s">
        <v>23</v>
      </c>
      <c r="D10" s="6" t="s">
        <v>20</v>
      </c>
      <c r="E10" s="6" t="s">
        <v>21</v>
      </c>
      <c r="G10" s="6" t="s">
        <v>24</v>
      </c>
    </row>
    <row r="11" spans="1:10" x14ac:dyDescent="0.3">
      <c r="B11" s="6" t="s">
        <v>25</v>
      </c>
      <c r="C11" s="6" t="s">
        <v>26</v>
      </c>
      <c r="D11" s="6" t="s">
        <v>27</v>
      </c>
      <c r="E11" s="6" t="s">
        <v>24</v>
      </c>
    </row>
    <row r="12" spans="1:10" x14ac:dyDescent="0.3">
      <c r="B12" s="6" t="s">
        <v>28</v>
      </c>
      <c r="C12" s="6" t="s">
        <v>29</v>
      </c>
      <c r="D12" s="6" t="s">
        <v>27</v>
      </c>
      <c r="E12" s="6" t="s">
        <v>24</v>
      </c>
    </row>
    <row r="14" spans="1:10" x14ac:dyDescent="0.3">
      <c r="A14" s="8" t="s">
        <v>30</v>
      </c>
      <c r="B14" s="8"/>
      <c r="C14" s="8"/>
      <c r="D14" s="8"/>
      <c r="E14" s="8"/>
      <c r="F14" s="8"/>
      <c r="G14" s="8"/>
      <c r="H14" s="8"/>
      <c r="I14" s="8"/>
      <c r="J14" s="8"/>
    </row>
    <row r="16" spans="1:10" ht="14.5" x14ac:dyDescent="0.3">
      <c r="B16" s="9" t="s">
        <v>3</v>
      </c>
      <c r="C16" s="10" t="s">
        <v>31</v>
      </c>
    </row>
    <row r="17" spans="1:10" x14ac:dyDescent="0.3">
      <c r="B17" s="6">
        <v>8010</v>
      </c>
      <c r="C17" s="6" t="s">
        <v>32</v>
      </c>
    </row>
    <row r="18" spans="1:10" x14ac:dyDescent="0.3">
      <c r="B18" s="6">
        <v>8020</v>
      </c>
      <c r="C18" s="6" t="s">
        <v>33</v>
      </c>
    </row>
    <row r="19" spans="1:10" x14ac:dyDescent="0.3">
      <c r="B19" s="6">
        <v>8030</v>
      </c>
      <c r="C19" s="6" t="s">
        <v>34</v>
      </c>
    </row>
    <row r="20" spans="1:10" x14ac:dyDescent="0.3">
      <c r="B20" s="6">
        <v>8040</v>
      </c>
      <c r="C20" s="6" t="s">
        <v>35</v>
      </c>
    </row>
    <row r="21" spans="1:10" x14ac:dyDescent="0.3">
      <c r="B21" s="6">
        <v>8050</v>
      </c>
      <c r="C21" s="6" t="s">
        <v>36</v>
      </c>
    </row>
    <row r="22" spans="1:10" x14ac:dyDescent="0.3">
      <c r="B22" s="6">
        <v>8060</v>
      </c>
      <c r="C22" s="6" t="s">
        <v>37</v>
      </c>
    </row>
    <row r="24" spans="1:10" x14ac:dyDescent="0.3">
      <c r="A24" s="8" t="s">
        <v>38</v>
      </c>
      <c r="B24" s="8"/>
      <c r="C24" s="8"/>
      <c r="D24" s="8"/>
      <c r="E24" s="8"/>
      <c r="F24" s="8"/>
      <c r="G24" s="8"/>
      <c r="H24" s="8"/>
      <c r="I24" s="8"/>
      <c r="J24" s="8"/>
    </row>
    <row r="26" spans="1:10" ht="14.5" x14ac:dyDescent="0.3">
      <c r="B26" s="9" t="s">
        <v>4</v>
      </c>
      <c r="C26" s="10" t="s">
        <v>39</v>
      </c>
    </row>
    <row r="27" spans="1:10" x14ac:dyDescent="0.3">
      <c r="B27" s="11">
        <v>101</v>
      </c>
      <c r="C27" s="6" t="s">
        <v>40</v>
      </c>
      <c r="F27" s="11"/>
    </row>
    <row r="28" spans="1:10" x14ac:dyDescent="0.3">
      <c r="B28" s="11">
        <v>102</v>
      </c>
      <c r="C28" s="6" t="s">
        <v>41</v>
      </c>
      <c r="F28" s="11"/>
    </row>
    <row r="29" spans="1:10" x14ac:dyDescent="0.3">
      <c r="B29" s="11">
        <v>103</v>
      </c>
      <c r="C29" s="6" t="s">
        <v>42</v>
      </c>
      <c r="F29" s="11"/>
    </row>
    <row r="30" spans="1:10" x14ac:dyDescent="0.3">
      <c r="B30" s="11">
        <v>104</v>
      </c>
      <c r="C30" s="6" t="s">
        <v>43</v>
      </c>
      <c r="F30" s="11"/>
    </row>
    <row r="31" spans="1:10" x14ac:dyDescent="0.3">
      <c r="B31" s="11">
        <v>105</v>
      </c>
      <c r="C31" s="6" t="s">
        <v>44</v>
      </c>
      <c r="F31" s="11"/>
    </row>
    <row r="32" spans="1:10" x14ac:dyDescent="0.3">
      <c r="B32" s="11">
        <v>106</v>
      </c>
      <c r="C32" s="6" t="s">
        <v>45</v>
      </c>
      <c r="F32" s="11"/>
    </row>
    <row r="33" spans="1:6" x14ac:dyDescent="0.3">
      <c r="B33" s="11">
        <v>107</v>
      </c>
      <c r="C33" s="6" t="s">
        <v>46</v>
      </c>
      <c r="F33" s="11"/>
    </row>
    <row r="34" spans="1:6" x14ac:dyDescent="0.3">
      <c r="B34" s="11">
        <v>108</v>
      </c>
      <c r="C34" s="6" t="s">
        <v>47</v>
      </c>
      <c r="F34" s="11"/>
    </row>
    <row r="35" spans="1:6" x14ac:dyDescent="0.3">
      <c r="B35" s="11">
        <v>109</v>
      </c>
      <c r="C35" s="6" t="s">
        <v>48</v>
      </c>
      <c r="F35" s="11"/>
    </row>
    <row r="36" spans="1:6" x14ac:dyDescent="0.3">
      <c r="B36" s="11">
        <v>110</v>
      </c>
      <c r="C36" s="6" t="s">
        <v>49</v>
      </c>
      <c r="F36" s="11"/>
    </row>
    <row r="37" spans="1:6" x14ac:dyDescent="0.3">
      <c r="B37" s="11">
        <v>111</v>
      </c>
      <c r="C37" s="6" t="s">
        <v>50</v>
      </c>
      <c r="F37" s="11"/>
    </row>
    <row r="38" spans="1:6" x14ac:dyDescent="0.3">
      <c r="B38" s="11">
        <v>112</v>
      </c>
      <c r="C38" s="6" t="s">
        <v>51</v>
      </c>
      <c r="F38" s="11"/>
    </row>
    <row r="39" spans="1:6" x14ac:dyDescent="0.3">
      <c r="B39" s="11">
        <v>113</v>
      </c>
      <c r="C39" s="6" t="s">
        <v>52</v>
      </c>
      <c r="F39" s="11"/>
    </row>
    <row r="40" spans="1:6" x14ac:dyDescent="0.3">
      <c r="B40" s="11">
        <v>114</v>
      </c>
      <c r="C40" s="6" t="s">
        <v>53</v>
      </c>
      <c r="F40" s="11"/>
    </row>
    <row r="41" spans="1:6" x14ac:dyDescent="0.3">
      <c r="B41" s="11">
        <v>115</v>
      </c>
      <c r="C41" s="6" t="s">
        <v>54</v>
      </c>
      <c r="F41" s="11"/>
    </row>
    <row r="42" spans="1:6" x14ac:dyDescent="0.3">
      <c r="B42" s="11">
        <v>116</v>
      </c>
      <c r="C42" s="6" t="s">
        <v>55</v>
      </c>
      <c r="F42" s="11"/>
    </row>
    <row r="43" spans="1:6" x14ac:dyDescent="0.3">
      <c r="B43" s="11">
        <v>117</v>
      </c>
      <c r="C43" s="6" t="s">
        <v>56</v>
      </c>
      <c r="F43" s="11"/>
    </row>
    <row r="44" spans="1:6" x14ac:dyDescent="0.3">
      <c r="B44" s="11">
        <v>118</v>
      </c>
      <c r="C44" s="6" t="s">
        <v>57</v>
      </c>
      <c r="F44" s="11"/>
    </row>
    <row r="45" spans="1:6" x14ac:dyDescent="0.3">
      <c r="B45" s="11">
        <v>119</v>
      </c>
      <c r="C45" s="6" t="s">
        <v>58</v>
      </c>
      <c r="F45" s="11"/>
    </row>
    <row r="46" spans="1:6" x14ac:dyDescent="0.3">
      <c r="B46" s="11">
        <v>120</v>
      </c>
      <c r="C46" s="6" t="s">
        <v>59</v>
      </c>
      <c r="F46" s="11"/>
    </row>
    <row r="47" spans="1:6" x14ac:dyDescent="0.3">
      <c r="A47" s="11"/>
    </row>
    <row r="48" spans="1:6" x14ac:dyDescent="0.3">
      <c r="A48" s="11"/>
    </row>
    <row r="50" spans="1:10" x14ac:dyDescent="0.3">
      <c r="A50" s="8" t="s">
        <v>60</v>
      </c>
      <c r="B50" s="8"/>
      <c r="C50" s="8"/>
      <c r="D50" s="8"/>
      <c r="E50" s="8"/>
      <c r="F50" s="8"/>
      <c r="G50" s="8"/>
      <c r="H50" s="8"/>
      <c r="I50" s="8"/>
      <c r="J50" s="8"/>
    </row>
    <row r="52" spans="1:10" ht="14.5" x14ac:dyDescent="0.3">
      <c r="B52" s="9" t="s">
        <v>61</v>
      </c>
      <c r="C52" s="10" t="s">
        <v>62</v>
      </c>
    </row>
    <row r="53" spans="1:10" x14ac:dyDescent="0.3">
      <c r="B53" s="6">
        <v>1</v>
      </c>
      <c r="C53" s="6">
        <v>1.0629200000000001</v>
      </c>
    </row>
    <row r="54" spans="1:10" x14ac:dyDescent="0.3">
      <c r="B54" s="6">
        <v>2</v>
      </c>
      <c r="C54" s="6">
        <v>1.064889</v>
      </c>
    </row>
    <row r="55" spans="1:10" x14ac:dyDescent="0.3">
      <c r="B55" s="6">
        <v>3</v>
      </c>
      <c r="C55" s="6">
        <v>1.069491</v>
      </c>
    </row>
    <row r="56" spans="1:10" x14ac:dyDescent="0.3">
      <c r="B56" s="6">
        <v>4</v>
      </c>
      <c r="C56" s="6">
        <v>1.0708819999999999</v>
      </c>
    </row>
    <row r="57" spans="1:10" x14ac:dyDescent="0.3">
      <c r="B57" s="6">
        <v>5</v>
      </c>
      <c r="C57" s="6">
        <v>1.106112</v>
      </c>
    </row>
    <row r="58" spans="1:10" x14ac:dyDescent="0.3">
      <c r="B58" s="6">
        <v>6</v>
      </c>
      <c r="C58" s="6">
        <v>1.1229709999999999</v>
      </c>
    </row>
    <row r="59" spans="1:10" x14ac:dyDescent="0.3">
      <c r="B59" s="6">
        <v>7</v>
      </c>
      <c r="C59" s="6">
        <v>1.1528700000000001</v>
      </c>
    </row>
    <row r="60" spans="1:10" x14ac:dyDescent="0.3">
      <c r="B60" s="6">
        <v>8</v>
      </c>
      <c r="C60" s="6">
        <v>1.181608</v>
      </c>
    </row>
    <row r="61" spans="1:10" x14ac:dyDescent="0.3">
      <c r="B61" s="6">
        <v>9</v>
      </c>
      <c r="C61" s="6">
        <v>1.191249</v>
      </c>
    </row>
    <row r="62" spans="1:10" x14ac:dyDescent="0.3">
      <c r="B62" s="6">
        <v>10</v>
      </c>
      <c r="C62" s="6">
        <v>1.174939</v>
      </c>
    </row>
    <row r="63" spans="1:10" x14ac:dyDescent="0.3">
      <c r="B63" s="6">
        <v>11</v>
      </c>
      <c r="C63" s="6">
        <v>1.1745300000000001</v>
      </c>
    </row>
    <row r="64" spans="1:10" x14ac:dyDescent="0.3">
      <c r="B64" s="6">
        <v>12</v>
      </c>
      <c r="C64" s="6">
        <v>1.19095</v>
      </c>
    </row>
    <row r="68" spans="1:10" x14ac:dyDescent="0.3">
      <c r="A68" s="8"/>
      <c r="B68" s="8"/>
      <c r="C68" s="8"/>
      <c r="D68" s="8"/>
      <c r="E68" s="8"/>
      <c r="F68" s="8"/>
      <c r="G68" s="8"/>
      <c r="H68" s="8"/>
      <c r="I68" s="8"/>
      <c r="J68" s="8"/>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0E0CB-BCD7-4843-A99C-B3713F9AEE10}">
  <sheetPr codeName="shNewDat"/>
  <dimension ref="B2:I36"/>
  <sheetViews>
    <sheetView workbookViewId="0">
      <selection sqref="A1:XFD1048576"/>
    </sheetView>
  </sheetViews>
  <sheetFormatPr defaultRowHeight="14.5" x14ac:dyDescent="0.35"/>
  <cols>
    <col min="3" max="3" width="13.90625" bestFit="1" customWidth="1"/>
  </cols>
  <sheetData>
    <row r="2" spans="2:9" x14ac:dyDescent="0.35">
      <c r="B2" t="s">
        <v>0</v>
      </c>
      <c r="C2" t="s">
        <v>22</v>
      </c>
    </row>
    <row r="4" spans="2:9" x14ac:dyDescent="0.35">
      <c r="B4" t="s">
        <v>1</v>
      </c>
      <c r="C4" t="s">
        <v>2</v>
      </c>
      <c r="D4" t="s">
        <v>63</v>
      </c>
      <c r="E4" t="s">
        <v>3</v>
      </c>
      <c r="F4" t="s">
        <v>4</v>
      </c>
      <c r="G4" t="s">
        <v>5</v>
      </c>
      <c r="H4" t="s">
        <v>6</v>
      </c>
      <c r="I4" t="s">
        <v>7</v>
      </c>
    </row>
    <row r="5" spans="2:9" x14ac:dyDescent="0.35">
      <c r="B5">
        <v>24030</v>
      </c>
      <c r="C5" s="1">
        <v>43375</v>
      </c>
      <c r="D5" t="s">
        <v>88</v>
      </c>
      <c r="E5">
        <v>8020</v>
      </c>
      <c r="F5">
        <v>101</v>
      </c>
      <c r="G5">
        <v>1</v>
      </c>
      <c r="H5">
        <v>130</v>
      </c>
      <c r="I5">
        <v>1560</v>
      </c>
    </row>
    <row r="6" spans="2:9" x14ac:dyDescent="0.35">
      <c r="B6">
        <v>24030</v>
      </c>
      <c r="C6" s="1">
        <v>43375</v>
      </c>
      <c r="D6" t="s">
        <v>89</v>
      </c>
      <c r="E6">
        <v>8020</v>
      </c>
      <c r="F6">
        <v>102</v>
      </c>
      <c r="H6">
        <v>30</v>
      </c>
      <c r="I6">
        <v>360</v>
      </c>
    </row>
    <row r="7" spans="2:9" x14ac:dyDescent="0.35">
      <c r="B7">
        <v>24030</v>
      </c>
      <c r="C7" s="1">
        <v>43375</v>
      </c>
      <c r="D7" t="s">
        <v>88</v>
      </c>
      <c r="E7">
        <v>8020</v>
      </c>
      <c r="F7">
        <v>106</v>
      </c>
      <c r="G7" t="s">
        <v>64</v>
      </c>
      <c r="H7">
        <v>60</v>
      </c>
      <c r="I7">
        <v>300</v>
      </c>
    </row>
    <row r="8" spans="2:9" x14ac:dyDescent="0.35">
      <c r="B8">
        <v>24030</v>
      </c>
      <c r="C8" s="1">
        <v>43375</v>
      </c>
      <c r="D8" t="s">
        <v>90</v>
      </c>
      <c r="E8">
        <v>8020</v>
      </c>
      <c r="F8">
        <v>108</v>
      </c>
      <c r="H8">
        <v>80</v>
      </c>
      <c r="I8">
        <v>2240</v>
      </c>
    </row>
    <row r="9" spans="2:9" x14ac:dyDescent="0.35">
      <c r="B9">
        <v>24031</v>
      </c>
      <c r="C9" s="1">
        <v>43381</v>
      </c>
      <c r="D9" t="s">
        <v>91</v>
      </c>
      <c r="E9">
        <v>8020</v>
      </c>
      <c r="F9">
        <v>101</v>
      </c>
      <c r="G9" t="s">
        <v>64</v>
      </c>
      <c r="H9">
        <v>100</v>
      </c>
      <c r="I9">
        <v>1200</v>
      </c>
    </row>
    <row r="10" spans="2:9" x14ac:dyDescent="0.35">
      <c r="B10">
        <v>24031</v>
      </c>
      <c r="C10" s="1">
        <v>43381</v>
      </c>
      <c r="D10" t="s">
        <v>92</v>
      </c>
      <c r="E10">
        <v>8020</v>
      </c>
      <c r="F10">
        <v>108</v>
      </c>
      <c r="G10" t="s">
        <v>64</v>
      </c>
      <c r="H10">
        <v>20</v>
      </c>
      <c r="I10">
        <v>560</v>
      </c>
    </row>
    <row r="11" spans="2:9" x14ac:dyDescent="0.35">
      <c r="B11">
        <v>24031</v>
      </c>
      <c r="C11" s="1">
        <v>43381</v>
      </c>
      <c r="D11" t="s">
        <v>93</v>
      </c>
      <c r="E11">
        <v>8020</v>
      </c>
      <c r="F11">
        <v>113</v>
      </c>
      <c r="G11" t="s">
        <v>64</v>
      </c>
      <c r="H11">
        <v>100</v>
      </c>
      <c r="I11">
        <v>2500</v>
      </c>
    </row>
    <row r="12" spans="2:9" x14ac:dyDescent="0.35">
      <c r="B12">
        <v>28112</v>
      </c>
      <c r="C12" s="1">
        <v>43385</v>
      </c>
      <c r="D12" t="s">
        <v>94</v>
      </c>
      <c r="E12">
        <v>8020</v>
      </c>
      <c r="F12">
        <v>114</v>
      </c>
      <c r="G12">
        <v>1</v>
      </c>
      <c r="H12">
        <v>50</v>
      </c>
      <c r="I12">
        <v>1250</v>
      </c>
    </row>
    <row r="13" spans="2:9" x14ac:dyDescent="0.35">
      <c r="B13">
        <v>28112</v>
      </c>
      <c r="C13" s="1">
        <v>43385</v>
      </c>
      <c r="D13" t="s">
        <v>88</v>
      </c>
      <c r="E13">
        <v>8020</v>
      </c>
      <c r="F13">
        <v>101</v>
      </c>
      <c r="G13" t="s">
        <v>64</v>
      </c>
      <c r="H13">
        <v>40</v>
      </c>
      <c r="I13">
        <v>480</v>
      </c>
    </row>
    <row r="14" spans="2:9" x14ac:dyDescent="0.35">
      <c r="B14">
        <v>28112</v>
      </c>
      <c r="C14" s="1">
        <v>43385</v>
      </c>
      <c r="D14" t="s">
        <v>94</v>
      </c>
      <c r="E14">
        <v>8020</v>
      </c>
      <c r="F14">
        <v>102</v>
      </c>
      <c r="H14">
        <v>70</v>
      </c>
      <c r="I14">
        <v>840</v>
      </c>
    </row>
    <row r="15" spans="2:9" x14ac:dyDescent="0.35">
      <c r="B15">
        <v>28112</v>
      </c>
      <c r="C15" s="1">
        <v>43385</v>
      </c>
      <c r="D15" t="s">
        <v>93</v>
      </c>
      <c r="E15">
        <v>8020</v>
      </c>
      <c r="F15">
        <v>106</v>
      </c>
      <c r="H15">
        <v>70</v>
      </c>
      <c r="I15">
        <v>350</v>
      </c>
    </row>
    <row r="16" spans="2:9" x14ac:dyDescent="0.35">
      <c r="B16">
        <v>28112</v>
      </c>
      <c r="C16" s="1">
        <v>43385</v>
      </c>
      <c r="D16" t="s">
        <v>90</v>
      </c>
      <c r="E16">
        <v>8020</v>
      </c>
      <c r="F16">
        <v>108</v>
      </c>
      <c r="H16">
        <v>10</v>
      </c>
      <c r="I16">
        <v>280</v>
      </c>
    </row>
    <row r="17" spans="2:9" x14ac:dyDescent="0.35">
      <c r="B17">
        <v>28112</v>
      </c>
      <c r="C17" s="1">
        <v>43385</v>
      </c>
      <c r="D17" t="s">
        <v>92</v>
      </c>
      <c r="E17">
        <v>8020</v>
      </c>
      <c r="F17">
        <v>117</v>
      </c>
      <c r="H17">
        <v>80</v>
      </c>
      <c r="I17">
        <v>1440</v>
      </c>
    </row>
    <row r="18" spans="2:9" x14ac:dyDescent="0.35">
      <c r="B18">
        <v>28112</v>
      </c>
      <c r="C18" s="1">
        <v>43385</v>
      </c>
      <c r="D18" t="s">
        <v>91</v>
      </c>
      <c r="E18">
        <v>8020</v>
      </c>
      <c r="F18">
        <v>118</v>
      </c>
      <c r="H18">
        <v>70</v>
      </c>
      <c r="I18">
        <v>1260</v>
      </c>
    </row>
    <row r="19" spans="2:9" x14ac:dyDescent="0.35">
      <c r="B19">
        <v>25442</v>
      </c>
      <c r="C19" s="1">
        <v>43389</v>
      </c>
      <c r="D19" t="s">
        <v>92</v>
      </c>
      <c r="E19">
        <v>8010</v>
      </c>
      <c r="F19">
        <v>118</v>
      </c>
      <c r="H19">
        <v>70</v>
      </c>
      <c r="I19">
        <v>1260</v>
      </c>
    </row>
    <row r="20" spans="2:9" x14ac:dyDescent="0.35">
      <c r="B20">
        <v>25442</v>
      </c>
      <c r="C20" s="1">
        <v>43389</v>
      </c>
      <c r="D20" t="s">
        <v>95</v>
      </c>
      <c r="E20">
        <v>8010</v>
      </c>
      <c r="F20">
        <v>117</v>
      </c>
      <c r="G20">
        <v>6</v>
      </c>
      <c r="H20">
        <v>80</v>
      </c>
      <c r="I20">
        <v>1440</v>
      </c>
    </row>
    <row r="21" spans="2:9" x14ac:dyDescent="0.35">
      <c r="B21">
        <v>25442</v>
      </c>
      <c r="C21" s="1">
        <v>43389</v>
      </c>
      <c r="D21" t="s">
        <v>95</v>
      </c>
      <c r="E21">
        <v>8010</v>
      </c>
      <c r="F21">
        <v>118</v>
      </c>
      <c r="H21">
        <v>70</v>
      </c>
      <c r="I21">
        <v>1260</v>
      </c>
    </row>
    <row r="22" spans="2:9" x14ac:dyDescent="0.35">
      <c r="B22">
        <v>25442</v>
      </c>
      <c r="C22" s="1">
        <v>43389</v>
      </c>
      <c r="D22" t="s">
        <v>94</v>
      </c>
      <c r="E22">
        <v>8010</v>
      </c>
      <c r="F22">
        <v>116</v>
      </c>
      <c r="G22">
        <v>1</v>
      </c>
      <c r="H22">
        <v>60</v>
      </c>
      <c r="I22">
        <v>360</v>
      </c>
    </row>
    <row r="23" spans="2:9" x14ac:dyDescent="0.35">
      <c r="B23">
        <v>25442</v>
      </c>
      <c r="C23" s="1">
        <v>43389</v>
      </c>
      <c r="D23" t="s">
        <v>88</v>
      </c>
      <c r="E23">
        <v>8010</v>
      </c>
      <c r="F23">
        <v>106</v>
      </c>
      <c r="H23">
        <v>20</v>
      </c>
      <c r="I23">
        <v>100</v>
      </c>
    </row>
    <row r="24" spans="2:9" x14ac:dyDescent="0.35">
      <c r="B24">
        <v>25442</v>
      </c>
      <c r="C24" s="1">
        <v>43389</v>
      </c>
      <c r="D24" t="s">
        <v>90</v>
      </c>
      <c r="E24">
        <v>8010</v>
      </c>
      <c r="F24">
        <v>101</v>
      </c>
      <c r="H24">
        <v>40</v>
      </c>
      <c r="I24">
        <v>480</v>
      </c>
    </row>
    <row r="25" spans="2:9" x14ac:dyDescent="0.35">
      <c r="B25">
        <v>25442</v>
      </c>
      <c r="C25" s="1">
        <v>43389</v>
      </c>
      <c r="D25" t="s">
        <v>89</v>
      </c>
      <c r="E25">
        <v>8010</v>
      </c>
      <c r="F25">
        <v>102</v>
      </c>
      <c r="H25">
        <v>10</v>
      </c>
      <c r="I25">
        <v>120</v>
      </c>
    </row>
    <row r="26" spans="2:9" x14ac:dyDescent="0.35">
      <c r="C26" s="1"/>
    </row>
    <row r="27" spans="2:9" x14ac:dyDescent="0.35">
      <c r="C27" s="1"/>
    </row>
    <row r="28" spans="2:9" x14ac:dyDescent="0.35">
      <c r="C28" s="1"/>
    </row>
    <row r="29" spans="2:9" x14ac:dyDescent="0.35">
      <c r="C29" s="1"/>
    </row>
    <row r="30" spans="2:9" x14ac:dyDescent="0.35">
      <c r="C30" s="1"/>
    </row>
    <row r="31" spans="2:9" x14ac:dyDescent="0.35">
      <c r="C31" s="1"/>
    </row>
    <row r="32" spans="2:9" x14ac:dyDescent="0.35">
      <c r="C32" s="1"/>
    </row>
    <row r="33" spans="3:3" x14ac:dyDescent="0.35">
      <c r="C33" s="1"/>
    </row>
    <row r="34" spans="3:3" x14ac:dyDescent="0.35">
      <c r="C34" s="1"/>
    </row>
    <row r="35" spans="3:3" x14ac:dyDescent="0.35">
      <c r="C35" s="1"/>
    </row>
    <row r="36" spans="3:3" x14ac:dyDescent="0.35">
      <c r="C36"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B98C-076A-41CF-96EA-9645E6B5956B}">
  <sheetPr codeName="Sheet3">
    <tabColor theme="9" tint="-0.249977111117893"/>
  </sheetPr>
  <dimension ref="A1:P55"/>
  <sheetViews>
    <sheetView workbookViewId="0">
      <selection activeCell="C47" sqref="C47"/>
    </sheetView>
  </sheetViews>
  <sheetFormatPr defaultColWidth="0" defaultRowHeight="12.5" customHeight="1" zeroHeight="1" x14ac:dyDescent="0.3"/>
  <cols>
    <col min="1" max="1" width="1.36328125" style="53" customWidth="1"/>
    <col min="2" max="2" width="3.08984375" style="53" customWidth="1"/>
    <col min="3" max="13" width="9.08984375" style="53" customWidth="1"/>
    <col min="14" max="14" width="12.6328125" style="53" customWidth="1"/>
    <col min="15" max="15" width="2.26953125" style="53" customWidth="1"/>
    <col min="16" max="16" width="2.6328125" style="53" customWidth="1"/>
    <col min="17" max="16384" width="9" style="6" hidden="1"/>
  </cols>
  <sheetData>
    <row r="1" spans="1:16" ht="13" x14ac:dyDescent="0.3">
      <c r="A1" s="43"/>
      <c r="B1" s="43"/>
      <c r="C1" s="43"/>
      <c r="D1" s="43"/>
      <c r="E1" s="43"/>
      <c r="F1" s="43"/>
      <c r="G1" s="43"/>
      <c r="H1" s="43"/>
      <c r="I1" s="43"/>
      <c r="J1" s="43"/>
      <c r="K1" s="43"/>
      <c r="L1" s="43"/>
      <c r="M1" s="43"/>
      <c r="N1" s="43"/>
      <c r="O1" s="43"/>
      <c r="P1" s="43"/>
    </row>
    <row r="2" spans="1:16" ht="13" x14ac:dyDescent="0.3">
      <c r="A2" s="43"/>
      <c r="B2" s="43"/>
      <c r="C2" s="43"/>
      <c r="D2" s="43"/>
      <c r="E2" s="43"/>
      <c r="F2" s="43"/>
      <c r="G2" s="43"/>
      <c r="H2" s="43"/>
      <c r="I2" s="43"/>
      <c r="J2" s="43"/>
      <c r="K2" s="43"/>
      <c r="L2" s="43"/>
      <c r="M2" s="43"/>
      <c r="N2" s="43"/>
      <c r="O2" s="43"/>
      <c r="P2" s="43"/>
    </row>
    <row r="3" spans="1:16" ht="13" x14ac:dyDescent="0.3">
      <c r="A3" s="43"/>
      <c r="B3" s="43"/>
      <c r="C3" s="43"/>
      <c r="D3" s="43"/>
      <c r="E3" s="43"/>
      <c r="F3" s="43"/>
      <c r="G3" s="43"/>
      <c r="H3" s="43"/>
      <c r="I3" s="43"/>
      <c r="J3" s="43"/>
      <c r="K3" s="43"/>
      <c r="L3" s="43"/>
      <c r="M3" s="43"/>
      <c r="N3" s="43"/>
      <c r="O3" s="43"/>
      <c r="P3" s="43"/>
    </row>
    <row r="4" spans="1:16" ht="13" x14ac:dyDescent="0.3">
      <c r="A4" s="43"/>
      <c r="B4" s="44"/>
      <c r="C4" s="44"/>
      <c r="D4" s="44"/>
      <c r="E4" s="44"/>
      <c r="F4" s="44"/>
      <c r="G4" s="44"/>
      <c r="H4" s="44"/>
      <c r="I4" s="44"/>
      <c r="J4" s="44"/>
      <c r="K4" s="44"/>
      <c r="L4" s="44"/>
      <c r="M4" s="44"/>
      <c r="N4" s="44"/>
      <c r="O4" s="43"/>
      <c r="P4" s="43"/>
    </row>
    <row r="5" spans="1:16" ht="18.5" x14ac:dyDescent="0.45">
      <c r="A5" s="43"/>
      <c r="B5" s="45"/>
      <c r="C5" s="46" t="s">
        <v>96</v>
      </c>
      <c r="D5" s="47"/>
      <c r="E5" s="47"/>
      <c r="F5" s="47"/>
      <c r="G5" s="47"/>
      <c r="H5" s="47"/>
      <c r="I5" s="47"/>
      <c r="J5" s="47"/>
      <c r="K5" s="47"/>
      <c r="L5" s="47"/>
      <c r="M5" s="47"/>
      <c r="N5" s="47"/>
      <c r="O5" s="43"/>
      <c r="P5" s="43"/>
    </row>
    <row r="6" spans="1:16" ht="13" x14ac:dyDescent="0.3">
      <c r="A6" s="43"/>
      <c r="B6" s="47"/>
      <c r="C6" s="47"/>
      <c r="D6" s="47"/>
      <c r="E6" s="47"/>
      <c r="F6" s="47"/>
      <c r="G6" s="47"/>
      <c r="H6" s="47"/>
      <c r="I6" s="47"/>
      <c r="J6" s="47"/>
      <c r="K6" s="47"/>
      <c r="L6" s="47"/>
      <c r="M6" s="47"/>
      <c r="N6" s="47"/>
      <c r="O6" s="43"/>
      <c r="P6" s="43"/>
    </row>
    <row r="7" spans="1:16" ht="13" x14ac:dyDescent="0.3">
      <c r="A7" s="43"/>
      <c r="B7" s="47"/>
      <c r="C7" s="48" t="s">
        <v>97</v>
      </c>
      <c r="D7" s="47"/>
      <c r="E7" s="47"/>
      <c r="F7" s="47"/>
      <c r="G7" s="47"/>
      <c r="H7" s="47"/>
      <c r="I7" s="47"/>
      <c r="J7" s="47"/>
      <c r="K7" s="47"/>
      <c r="L7" s="47"/>
      <c r="M7" s="47"/>
      <c r="N7" s="47"/>
      <c r="O7" s="43"/>
      <c r="P7" s="43"/>
    </row>
    <row r="8" spans="1:16" ht="13" x14ac:dyDescent="0.3">
      <c r="A8" s="43"/>
      <c r="B8" s="47"/>
      <c r="C8" s="48" t="s">
        <v>98</v>
      </c>
      <c r="D8" s="47"/>
      <c r="E8" s="47"/>
      <c r="F8" s="47"/>
      <c r="G8" s="47"/>
      <c r="H8" s="47"/>
      <c r="I8" s="47"/>
      <c r="J8" s="47"/>
      <c r="K8" s="47"/>
      <c r="L8" s="47"/>
      <c r="M8" s="47"/>
      <c r="N8" s="47"/>
      <c r="O8" s="43"/>
      <c r="P8" s="43"/>
    </row>
    <row r="9" spans="1:16" ht="13" x14ac:dyDescent="0.3">
      <c r="A9" s="43"/>
      <c r="B9" s="47"/>
      <c r="C9" s="48" t="s">
        <v>99</v>
      </c>
      <c r="D9" s="47"/>
      <c r="E9" s="47"/>
      <c r="F9" s="47"/>
      <c r="G9" s="47"/>
      <c r="H9" s="47"/>
      <c r="I9" s="47"/>
      <c r="J9" s="47"/>
      <c r="K9" s="47"/>
      <c r="L9" s="47"/>
      <c r="M9" s="47"/>
      <c r="N9" s="47"/>
      <c r="O9" s="43"/>
      <c r="P9" s="43"/>
    </row>
    <row r="10" spans="1:16" ht="13" x14ac:dyDescent="0.3">
      <c r="A10" s="43"/>
      <c r="B10" s="47"/>
      <c r="C10" s="48" t="s">
        <v>100</v>
      </c>
      <c r="D10" s="47"/>
      <c r="E10" s="47"/>
      <c r="F10" s="47"/>
      <c r="G10" s="47"/>
      <c r="H10" s="47"/>
      <c r="I10" s="47"/>
      <c r="J10" s="47"/>
      <c r="K10" s="47"/>
      <c r="L10" s="47"/>
      <c r="M10" s="47"/>
      <c r="N10" s="47"/>
      <c r="O10" s="43"/>
      <c r="P10" s="43"/>
    </row>
    <row r="11" spans="1:16" ht="13" x14ac:dyDescent="0.3">
      <c r="A11" s="43"/>
      <c r="B11" s="47"/>
      <c r="C11" s="49" t="s">
        <v>101</v>
      </c>
      <c r="D11" s="47"/>
      <c r="E11" s="47"/>
      <c r="F11" s="47"/>
      <c r="G11" s="47"/>
      <c r="H11" s="47"/>
      <c r="I11" s="47"/>
      <c r="J11" s="47"/>
      <c r="K11" s="47"/>
      <c r="L11" s="47"/>
      <c r="M11" s="47"/>
      <c r="N11" s="47"/>
      <c r="O11" s="43"/>
      <c r="P11" s="43"/>
    </row>
    <row r="12" spans="1:16" ht="13" x14ac:dyDescent="0.3">
      <c r="A12" s="43"/>
      <c r="B12" s="47"/>
      <c r="C12" s="49" t="s">
        <v>102</v>
      </c>
      <c r="D12" s="47"/>
      <c r="E12" s="47"/>
      <c r="F12" s="47"/>
      <c r="G12" s="47"/>
      <c r="H12" s="47"/>
      <c r="I12" s="47"/>
      <c r="J12" s="47"/>
      <c r="K12" s="47"/>
      <c r="L12" s="47"/>
      <c r="M12" s="47"/>
      <c r="N12" s="47"/>
      <c r="O12" s="43"/>
      <c r="P12" s="43"/>
    </row>
    <row r="13" spans="1:16" ht="13" x14ac:dyDescent="0.3">
      <c r="A13" s="43"/>
      <c r="B13" s="47"/>
      <c r="C13" s="48" t="s">
        <v>103</v>
      </c>
      <c r="D13" s="47"/>
      <c r="E13" s="47"/>
      <c r="F13" s="47"/>
      <c r="G13" s="47"/>
      <c r="H13" s="47"/>
      <c r="I13" s="47"/>
      <c r="J13" s="47"/>
      <c r="K13" s="47"/>
      <c r="L13" s="47"/>
      <c r="M13" s="47"/>
      <c r="N13" s="47"/>
      <c r="O13" s="43"/>
      <c r="P13" s="43"/>
    </row>
    <row r="14" spans="1:16" ht="13" x14ac:dyDescent="0.3">
      <c r="A14" s="43"/>
      <c r="B14" s="47"/>
      <c r="C14" s="47"/>
      <c r="D14" s="47"/>
      <c r="E14" s="47"/>
      <c r="F14" s="47"/>
      <c r="G14" s="47"/>
      <c r="H14" s="47"/>
      <c r="I14" s="47"/>
      <c r="J14" s="47"/>
      <c r="K14" s="47"/>
      <c r="L14" s="47"/>
      <c r="M14" s="47"/>
      <c r="N14" s="47"/>
      <c r="O14" s="43"/>
      <c r="P14" s="43"/>
    </row>
    <row r="15" spans="1:16" ht="18.5" x14ac:dyDescent="0.45">
      <c r="A15" s="43"/>
      <c r="B15" s="47"/>
      <c r="C15" s="46" t="s">
        <v>104</v>
      </c>
      <c r="D15" s="47"/>
      <c r="E15" s="47"/>
      <c r="F15" s="47"/>
      <c r="G15" s="47"/>
      <c r="H15" s="47"/>
      <c r="I15" s="47"/>
      <c r="J15" s="47"/>
      <c r="K15" s="47"/>
      <c r="L15" s="47"/>
      <c r="M15" s="47"/>
      <c r="N15" s="47"/>
      <c r="O15" s="43"/>
      <c r="P15" s="43"/>
    </row>
    <row r="16" spans="1:16" ht="13" x14ac:dyDescent="0.3">
      <c r="A16" s="43"/>
      <c r="B16" s="47"/>
      <c r="C16" s="47"/>
      <c r="D16" s="47"/>
      <c r="E16" s="47"/>
      <c r="F16" s="47"/>
      <c r="G16" s="47"/>
      <c r="H16" s="47"/>
      <c r="I16" s="47"/>
      <c r="J16" s="47"/>
      <c r="K16" s="47"/>
      <c r="L16" s="47"/>
      <c r="M16" s="47"/>
      <c r="N16" s="47"/>
      <c r="O16" s="43"/>
      <c r="P16" s="43"/>
    </row>
    <row r="17" spans="1:16" ht="13" x14ac:dyDescent="0.3">
      <c r="A17" s="43"/>
      <c r="B17" s="47"/>
      <c r="C17" s="47" t="s">
        <v>105</v>
      </c>
      <c r="D17" s="47"/>
      <c r="E17" s="47"/>
      <c r="F17" s="47"/>
      <c r="G17" s="47"/>
      <c r="H17" s="47"/>
      <c r="I17" s="47"/>
      <c r="J17" s="47"/>
      <c r="K17" s="47"/>
      <c r="L17" s="47"/>
      <c r="M17" s="47"/>
      <c r="N17" s="47"/>
      <c r="O17" s="43"/>
      <c r="P17" s="43"/>
    </row>
    <row r="18" spans="1:16" ht="13" x14ac:dyDescent="0.3">
      <c r="A18" s="43"/>
      <c r="B18" s="50"/>
      <c r="C18" s="47" t="s">
        <v>106</v>
      </c>
      <c r="D18" s="50"/>
      <c r="E18" s="50"/>
      <c r="F18" s="50"/>
      <c r="G18" s="47"/>
      <c r="H18" s="47"/>
      <c r="I18" s="47"/>
      <c r="J18" s="47"/>
      <c r="K18" s="47"/>
      <c r="L18" s="47"/>
      <c r="M18" s="47"/>
      <c r="N18" s="47"/>
      <c r="O18" s="43"/>
      <c r="P18" s="43"/>
    </row>
    <row r="19" spans="1:16" ht="13" x14ac:dyDescent="0.3">
      <c r="A19" s="43"/>
      <c r="B19" s="44"/>
      <c r="C19" s="47" t="s">
        <v>107</v>
      </c>
      <c r="D19" s="51"/>
      <c r="E19" s="44"/>
      <c r="F19" s="44"/>
      <c r="G19" s="47"/>
      <c r="H19" s="47"/>
      <c r="I19" s="47"/>
      <c r="J19" s="47"/>
      <c r="K19" s="47"/>
      <c r="L19" s="47"/>
      <c r="M19" s="47"/>
      <c r="N19" s="47"/>
      <c r="O19" s="43"/>
      <c r="P19" s="43"/>
    </row>
    <row r="20" spans="1:16" ht="13" x14ac:dyDescent="0.3">
      <c r="A20" s="43"/>
      <c r="B20" s="47"/>
      <c r="C20" s="47" t="s">
        <v>108</v>
      </c>
      <c r="D20" s="48"/>
      <c r="E20" s="47"/>
      <c r="F20" s="47"/>
      <c r="G20" s="47"/>
      <c r="H20" s="47"/>
      <c r="I20" s="47"/>
      <c r="J20" s="47"/>
      <c r="K20" s="47"/>
      <c r="L20" s="47"/>
      <c r="M20" s="47"/>
      <c r="N20" s="47"/>
      <c r="O20" s="43"/>
      <c r="P20" s="43"/>
    </row>
    <row r="21" spans="1:16" ht="13" x14ac:dyDescent="0.3">
      <c r="A21" s="43"/>
      <c r="B21" s="47"/>
      <c r="C21" s="47" t="s">
        <v>109</v>
      </c>
      <c r="D21" s="47"/>
      <c r="E21" s="47"/>
      <c r="F21" s="47"/>
      <c r="G21" s="47"/>
      <c r="H21" s="47"/>
      <c r="I21" s="47"/>
      <c r="J21" s="47"/>
      <c r="K21" s="47"/>
      <c r="L21" s="47"/>
      <c r="M21" s="47"/>
      <c r="N21" s="47"/>
      <c r="O21" s="43"/>
      <c r="P21" s="43"/>
    </row>
    <row r="22" spans="1:16" ht="13" x14ac:dyDescent="0.3">
      <c r="A22" s="43"/>
      <c r="B22" s="47"/>
      <c r="C22" s="47" t="s">
        <v>110</v>
      </c>
      <c r="D22" s="47"/>
      <c r="E22" s="47"/>
      <c r="F22" s="47"/>
      <c r="G22" s="47"/>
      <c r="H22" s="47"/>
      <c r="I22" s="47"/>
      <c r="J22" s="47"/>
      <c r="K22" s="47"/>
      <c r="L22" s="47"/>
      <c r="M22" s="47"/>
      <c r="N22" s="47"/>
      <c r="O22" s="43"/>
      <c r="P22" s="43"/>
    </row>
    <row r="23" spans="1:16" ht="13" x14ac:dyDescent="0.3">
      <c r="A23" s="43"/>
      <c r="B23" s="47"/>
      <c r="C23" s="47" t="s">
        <v>111</v>
      </c>
      <c r="D23" s="47"/>
      <c r="E23" s="47"/>
      <c r="F23" s="47"/>
      <c r="G23" s="47"/>
      <c r="H23" s="47"/>
      <c r="I23" s="47"/>
      <c r="J23" s="47"/>
      <c r="K23" s="47"/>
      <c r="L23" s="47"/>
      <c r="M23" s="47"/>
      <c r="N23" s="47"/>
      <c r="O23" s="43"/>
      <c r="P23" s="43"/>
    </row>
    <row r="24" spans="1:16" ht="13" x14ac:dyDescent="0.3">
      <c r="A24" s="43"/>
      <c r="B24" s="47"/>
      <c r="C24" s="47" t="s">
        <v>112</v>
      </c>
      <c r="D24" s="48"/>
      <c r="E24" s="47"/>
      <c r="F24" s="47"/>
      <c r="G24" s="47"/>
      <c r="H24" s="47"/>
      <c r="I24" s="47"/>
      <c r="J24" s="47"/>
      <c r="K24" s="47"/>
      <c r="L24" s="47"/>
      <c r="M24" s="47"/>
      <c r="N24" s="47"/>
      <c r="O24" s="43"/>
      <c r="P24" s="43"/>
    </row>
    <row r="25" spans="1:16" ht="13" x14ac:dyDescent="0.3">
      <c r="A25" s="43"/>
      <c r="B25" s="47"/>
      <c r="C25" s="52" t="s">
        <v>113</v>
      </c>
      <c r="D25" s="48"/>
      <c r="E25" s="47"/>
      <c r="F25" s="47"/>
      <c r="G25" s="47"/>
      <c r="H25" s="47"/>
      <c r="I25" s="47"/>
      <c r="J25" s="47"/>
      <c r="K25" s="47"/>
      <c r="L25" s="47"/>
      <c r="M25" s="47"/>
      <c r="N25" s="47"/>
      <c r="O25" s="43"/>
      <c r="P25" s="43"/>
    </row>
    <row r="26" spans="1:16" ht="13" x14ac:dyDescent="0.3">
      <c r="A26" s="43"/>
      <c r="B26" s="47"/>
      <c r="C26" s="47"/>
      <c r="D26" s="47"/>
      <c r="E26" s="47"/>
      <c r="F26" s="47"/>
      <c r="G26" s="47"/>
      <c r="H26" s="47"/>
      <c r="I26" s="47"/>
      <c r="J26" s="47"/>
      <c r="K26" s="47"/>
      <c r="L26" s="47"/>
      <c r="M26" s="47"/>
      <c r="N26" s="47"/>
      <c r="O26" s="43"/>
      <c r="P26" s="43"/>
    </row>
    <row r="27" spans="1:16" ht="13" x14ac:dyDescent="0.3">
      <c r="A27" s="43"/>
      <c r="B27" s="47"/>
      <c r="C27" s="47"/>
      <c r="D27" s="47"/>
      <c r="E27" s="47"/>
      <c r="F27" s="47"/>
      <c r="G27" s="47"/>
      <c r="H27" s="47"/>
      <c r="I27" s="47"/>
      <c r="J27" s="47"/>
      <c r="K27" s="47"/>
      <c r="L27" s="47"/>
      <c r="M27" s="47"/>
      <c r="N27" s="47"/>
      <c r="O27" s="43"/>
      <c r="P27" s="43"/>
    </row>
    <row r="28" spans="1:16" ht="18.5" x14ac:dyDescent="0.45">
      <c r="A28" s="43"/>
      <c r="B28" s="47"/>
      <c r="C28" s="46" t="s">
        <v>114</v>
      </c>
      <c r="D28" s="47"/>
      <c r="E28" s="47"/>
      <c r="F28" s="47"/>
      <c r="G28" s="47"/>
      <c r="H28" s="47"/>
      <c r="I28" s="47"/>
      <c r="J28" s="47"/>
      <c r="K28" s="47"/>
      <c r="L28" s="47"/>
      <c r="M28" s="47"/>
      <c r="N28" s="47"/>
      <c r="O28" s="43"/>
      <c r="P28" s="43"/>
    </row>
    <row r="29" spans="1:16" ht="13" x14ac:dyDescent="0.3">
      <c r="A29" s="43"/>
      <c r="B29" s="47"/>
      <c r="C29" s="47"/>
      <c r="D29" s="47"/>
      <c r="E29" s="47"/>
      <c r="F29" s="47"/>
      <c r="G29" s="47"/>
      <c r="H29" s="47"/>
      <c r="I29" s="47"/>
      <c r="J29" s="47"/>
      <c r="K29" s="47"/>
      <c r="L29" s="47"/>
      <c r="M29" s="47"/>
      <c r="N29" s="47"/>
      <c r="O29" s="43"/>
      <c r="P29" s="43"/>
    </row>
    <row r="30" spans="1:16" ht="13" x14ac:dyDescent="0.3">
      <c r="A30" s="43"/>
      <c r="B30" s="47"/>
      <c r="C30" s="47" t="s">
        <v>115</v>
      </c>
      <c r="D30" s="47"/>
      <c r="E30" s="47"/>
      <c r="F30" s="47"/>
      <c r="G30" s="47"/>
      <c r="H30" s="47"/>
      <c r="I30" s="47"/>
      <c r="J30" s="47"/>
      <c r="K30" s="47"/>
      <c r="L30" s="47"/>
      <c r="M30" s="47"/>
      <c r="N30" s="47"/>
      <c r="O30" s="43"/>
      <c r="P30" s="43"/>
    </row>
    <row r="31" spans="1:16" ht="13" x14ac:dyDescent="0.3">
      <c r="A31" s="43"/>
      <c r="B31" s="47"/>
      <c r="C31" s="47" t="s">
        <v>116</v>
      </c>
      <c r="D31" s="47"/>
      <c r="E31" s="47"/>
      <c r="F31" s="47"/>
      <c r="G31" s="47"/>
      <c r="H31" s="47"/>
      <c r="I31" s="47"/>
      <c r="J31" s="47"/>
      <c r="K31" s="47"/>
      <c r="L31" s="47"/>
      <c r="M31" s="47"/>
      <c r="N31" s="47"/>
      <c r="O31" s="43"/>
      <c r="P31" s="43"/>
    </row>
    <row r="32" spans="1:16" ht="13" x14ac:dyDescent="0.3">
      <c r="A32" s="43"/>
      <c r="B32" s="47"/>
      <c r="C32" s="53" t="s">
        <v>117</v>
      </c>
      <c r="D32" s="47"/>
      <c r="E32" s="47"/>
      <c r="F32" s="47"/>
      <c r="G32" s="47"/>
      <c r="H32" s="47"/>
      <c r="I32" s="47"/>
      <c r="J32" s="47"/>
      <c r="K32" s="47"/>
      <c r="L32" s="47"/>
      <c r="M32" s="47"/>
      <c r="N32" s="47"/>
      <c r="O32" s="43"/>
      <c r="P32" s="43"/>
    </row>
    <row r="33" spans="1:16" ht="13" x14ac:dyDescent="0.3">
      <c r="A33" s="43"/>
      <c r="B33" s="47"/>
      <c r="C33" s="47" t="s">
        <v>118</v>
      </c>
      <c r="D33" s="47"/>
      <c r="E33" s="47"/>
      <c r="F33" s="47"/>
      <c r="G33" s="47"/>
      <c r="H33" s="47"/>
      <c r="I33" s="47"/>
      <c r="J33" s="47"/>
      <c r="K33" s="47"/>
      <c r="L33" s="47"/>
      <c r="M33" s="47"/>
      <c r="N33" s="47"/>
      <c r="O33" s="43"/>
      <c r="P33" s="43"/>
    </row>
    <row r="34" spans="1:16" ht="13" x14ac:dyDescent="0.3">
      <c r="A34" s="43"/>
      <c r="B34" s="47"/>
      <c r="D34" s="47"/>
      <c r="E34" s="47"/>
      <c r="F34" s="47"/>
      <c r="G34" s="47"/>
      <c r="H34" s="47"/>
      <c r="I34" s="47"/>
      <c r="J34" s="47"/>
      <c r="K34" s="47"/>
      <c r="L34" s="47"/>
      <c r="M34" s="47"/>
      <c r="N34" s="47"/>
      <c r="O34" s="43"/>
      <c r="P34" s="43"/>
    </row>
    <row r="35" spans="1:16" ht="13" x14ac:dyDescent="0.3">
      <c r="A35" s="43"/>
      <c r="B35" s="47"/>
      <c r="C35" s="50"/>
      <c r="D35" s="47"/>
      <c r="E35" s="47"/>
      <c r="F35" s="47"/>
      <c r="G35" s="47"/>
      <c r="H35" s="47"/>
      <c r="I35" s="47"/>
      <c r="J35" s="47"/>
      <c r="K35" s="47"/>
      <c r="L35" s="47"/>
      <c r="M35" s="47"/>
      <c r="N35" s="47"/>
      <c r="O35" s="43"/>
      <c r="P35" s="43"/>
    </row>
    <row r="36" spans="1:16" ht="13" x14ac:dyDescent="0.3">
      <c r="A36" s="43"/>
      <c r="B36" s="47"/>
      <c r="C36" s="54" t="s">
        <v>119</v>
      </c>
      <c r="D36" s="48"/>
      <c r="E36" s="47"/>
      <c r="F36" s="47"/>
      <c r="G36" s="47"/>
      <c r="H36" s="47"/>
      <c r="I36" s="47"/>
      <c r="J36" s="47"/>
      <c r="K36" s="47"/>
      <c r="L36" s="47"/>
      <c r="M36" s="47"/>
      <c r="N36" s="47"/>
      <c r="O36" s="43"/>
      <c r="P36" s="43"/>
    </row>
    <row r="37" spans="1:16" ht="13" x14ac:dyDescent="0.3">
      <c r="A37" s="43"/>
      <c r="B37" s="47"/>
      <c r="C37" s="47"/>
      <c r="D37" s="48"/>
      <c r="E37" s="47"/>
      <c r="F37" s="47"/>
      <c r="G37" s="47"/>
      <c r="H37" s="47"/>
      <c r="I37" s="47"/>
      <c r="J37" s="47"/>
      <c r="K37" s="47"/>
      <c r="L37" s="47"/>
      <c r="M37" s="47"/>
      <c r="N37" s="47"/>
      <c r="O37" s="43"/>
      <c r="P37" s="43"/>
    </row>
    <row r="38" spans="1:16" ht="14.5" x14ac:dyDescent="0.35">
      <c r="A38" s="43"/>
      <c r="B38" s="47"/>
      <c r="C38" s="55" t="s">
        <v>120</v>
      </c>
      <c r="D38" s="47"/>
      <c r="E38" s="47"/>
      <c r="F38" s="47"/>
      <c r="G38" s="47"/>
      <c r="H38" s="47"/>
      <c r="I38" s="47"/>
      <c r="J38" s="47"/>
      <c r="K38" s="47"/>
      <c r="L38" s="47"/>
      <c r="M38" s="47"/>
      <c r="N38" s="47"/>
      <c r="O38" s="43"/>
      <c r="P38" s="43"/>
    </row>
    <row r="39" spans="1:16" ht="14.5" x14ac:dyDescent="0.35">
      <c r="A39" s="43"/>
      <c r="B39" s="47"/>
      <c r="C39" s="55" t="s">
        <v>121</v>
      </c>
      <c r="D39" s="47"/>
      <c r="E39" s="47"/>
      <c r="F39" s="47"/>
      <c r="G39" s="47"/>
      <c r="H39" s="47"/>
      <c r="I39" s="47"/>
      <c r="J39" s="47"/>
      <c r="K39" s="47"/>
      <c r="L39" s="47"/>
      <c r="M39" s="47"/>
      <c r="N39" s="47"/>
      <c r="O39" s="43"/>
      <c r="P39" s="43"/>
    </row>
    <row r="40" spans="1:16" ht="14.5" x14ac:dyDescent="0.35">
      <c r="A40" s="43"/>
      <c r="B40" s="47"/>
      <c r="C40" s="55" t="s">
        <v>122</v>
      </c>
      <c r="D40" s="47"/>
      <c r="E40" s="47"/>
      <c r="F40" s="47"/>
      <c r="G40" s="47"/>
      <c r="H40" s="47"/>
      <c r="I40" s="47"/>
      <c r="J40" s="47"/>
      <c r="K40" s="47"/>
      <c r="L40" s="47"/>
      <c r="M40" s="47"/>
      <c r="N40" s="47"/>
      <c r="O40" s="43"/>
      <c r="P40" s="43"/>
    </row>
    <row r="41" spans="1:16" ht="13" x14ac:dyDescent="0.3">
      <c r="A41" s="43"/>
      <c r="B41" s="47"/>
      <c r="C41" s="47"/>
      <c r="D41" s="48"/>
      <c r="E41" s="47"/>
      <c r="F41" s="47"/>
      <c r="G41" s="47"/>
      <c r="H41" s="47"/>
      <c r="I41" s="47"/>
      <c r="J41" s="47"/>
      <c r="K41" s="47"/>
      <c r="L41" s="47"/>
      <c r="M41" s="47"/>
      <c r="N41" s="47"/>
      <c r="O41" s="43"/>
      <c r="P41" s="43"/>
    </row>
    <row r="42" spans="1:16" ht="13" x14ac:dyDescent="0.3">
      <c r="A42" s="43"/>
      <c r="B42" s="47"/>
      <c r="C42" s="47"/>
      <c r="D42" s="47"/>
      <c r="E42" s="47"/>
      <c r="F42" s="47"/>
      <c r="G42" s="47"/>
      <c r="H42" s="47"/>
      <c r="I42" s="47"/>
      <c r="J42" s="47"/>
      <c r="K42" s="47"/>
      <c r="L42" s="47"/>
      <c r="M42" s="47"/>
      <c r="N42" s="47"/>
      <c r="O42" s="43"/>
      <c r="P42" s="43"/>
    </row>
    <row r="43" spans="1:16" ht="13" x14ac:dyDescent="0.3">
      <c r="A43" s="43"/>
      <c r="B43" s="47"/>
      <c r="C43" s="47"/>
      <c r="D43" s="47"/>
      <c r="E43" s="47"/>
      <c r="F43" s="47"/>
      <c r="G43" s="47"/>
      <c r="H43" s="47"/>
      <c r="I43" s="47"/>
      <c r="J43" s="47"/>
      <c r="K43" s="47"/>
      <c r="L43" s="47"/>
      <c r="M43" s="47"/>
      <c r="N43" s="47"/>
      <c r="O43" s="43"/>
      <c r="P43" s="43"/>
    </row>
    <row r="44" spans="1:16" ht="18.5" x14ac:dyDescent="0.45">
      <c r="A44" s="43"/>
      <c r="B44" s="47"/>
      <c r="C44" s="46"/>
      <c r="D44" s="47"/>
      <c r="E44" s="47"/>
      <c r="F44" s="47"/>
      <c r="G44" s="47"/>
      <c r="H44" s="47"/>
      <c r="I44" s="47"/>
      <c r="J44" s="47"/>
      <c r="K44" s="47"/>
      <c r="L44" s="47"/>
      <c r="M44" s="47"/>
      <c r="N44" s="47"/>
      <c r="O44" s="43"/>
      <c r="P44" s="43"/>
    </row>
    <row r="45" spans="1:16" ht="13" x14ac:dyDescent="0.3">
      <c r="A45" s="43"/>
      <c r="B45" s="47"/>
      <c r="C45" s="47"/>
      <c r="D45" s="47"/>
      <c r="E45" s="47"/>
      <c r="F45" s="47"/>
      <c r="G45" s="47"/>
      <c r="H45" s="47"/>
      <c r="I45" s="47"/>
      <c r="J45" s="47"/>
      <c r="K45" s="47"/>
      <c r="L45" s="47"/>
      <c r="M45" s="47"/>
      <c r="N45" s="47"/>
      <c r="O45" s="43"/>
      <c r="P45" s="43"/>
    </row>
    <row r="46" spans="1:16" ht="13" x14ac:dyDescent="0.3">
      <c r="A46" s="43"/>
      <c r="B46" s="47"/>
      <c r="C46" s="47"/>
      <c r="D46" s="47"/>
      <c r="E46" s="47"/>
      <c r="F46" s="47"/>
      <c r="G46" s="47"/>
      <c r="H46" s="47"/>
      <c r="I46" s="47"/>
      <c r="J46" s="47"/>
      <c r="K46" s="47"/>
      <c r="L46" s="47"/>
      <c r="M46" s="47"/>
      <c r="N46" s="47"/>
      <c r="O46" s="43"/>
      <c r="P46" s="43"/>
    </row>
    <row r="47" spans="1:16" ht="13" x14ac:dyDescent="0.3">
      <c r="A47" s="43"/>
      <c r="B47" s="47"/>
      <c r="C47" s="47"/>
      <c r="D47" s="47"/>
      <c r="E47" s="47"/>
      <c r="F47" s="47"/>
      <c r="G47" s="47"/>
      <c r="H47" s="47"/>
      <c r="I47" s="47"/>
      <c r="J47" s="47"/>
      <c r="K47" s="47"/>
      <c r="L47" s="47"/>
      <c r="M47" s="47"/>
      <c r="N47" s="47"/>
      <c r="O47" s="43"/>
      <c r="P47" s="43"/>
    </row>
    <row r="48" spans="1:16" ht="13" x14ac:dyDescent="0.3">
      <c r="A48" s="43"/>
      <c r="B48" s="47"/>
      <c r="C48" s="47"/>
      <c r="D48" s="48"/>
      <c r="E48" s="47"/>
      <c r="F48" s="47"/>
      <c r="G48" s="47"/>
      <c r="H48" s="47"/>
      <c r="I48" s="47"/>
      <c r="J48" s="47"/>
      <c r="K48" s="47"/>
      <c r="L48" s="47"/>
      <c r="M48" s="47"/>
      <c r="N48" s="47"/>
      <c r="O48" s="43"/>
      <c r="P48" s="43"/>
    </row>
    <row r="49" spans="1:16" ht="13" x14ac:dyDescent="0.3">
      <c r="A49" s="43"/>
      <c r="B49" s="47"/>
      <c r="C49" s="47"/>
      <c r="D49" s="47"/>
      <c r="E49" s="47"/>
      <c r="F49" s="47"/>
      <c r="G49" s="47"/>
      <c r="H49" s="47"/>
      <c r="I49" s="47"/>
      <c r="J49" s="47"/>
      <c r="K49" s="47"/>
      <c r="L49" s="47"/>
      <c r="M49" s="47"/>
      <c r="N49" s="47"/>
      <c r="O49" s="43"/>
      <c r="P49" s="43"/>
    </row>
    <row r="50" spans="1:16" ht="18.5" x14ac:dyDescent="0.45">
      <c r="A50" s="43"/>
      <c r="B50" s="47"/>
      <c r="C50" s="46"/>
      <c r="D50" s="47"/>
      <c r="E50" s="47"/>
      <c r="F50" s="47"/>
      <c r="G50" s="47"/>
      <c r="H50" s="47"/>
      <c r="I50" s="47"/>
      <c r="J50" s="47"/>
      <c r="K50" s="47"/>
      <c r="L50" s="47"/>
      <c r="M50" s="47"/>
      <c r="N50" s="47"/>
      <c r="O50" s="43"/>
      <c r="P50" s="43"/>
    </row>
    <row r="51" spans="1:16" ht="13" x14ac:dyDescent="0.3">
      <c r="A51" s="43"/>
      <c r="B51" s="47"/>
      <c r="C51" s="47"/>
      <c r="D51" s="47"/>
      <c r="E51" s="47"/>
      <c r="F51" s="47"/>
      <c r="G51" s="47"/>
      <c r="H51" s="47"/>
      <c r="I51" s="47"/>
      <c r="J51" s="47"/>
      <c r="K51" s="47"/>
      <c r="L51" s="47"/>
      <c r="M51" s="47"/>
      <c r="N51" s="47"/>
      <c r="O51" s="43"/>
      <c r="P51" s="43"/>
    </row>
    <row r="52" spans="1:16" ht="13" x14ac:dyDescent="0.3">
      <c r="A52" s="43"/>
      <c r="B52" s="47"/>
      <c r="C52" s="47"/>
      <c r="D52" s="47"/>
      <c r="E52" s="47"/>
      <c r="F52" s="47"/>
      <c r="G52" s="47"/>
      <c r="H52" s="47"/>
      <c r="I52" s="47"/>
      <c r="J52" s="47"/>
      <c r="K52" s="47"/>
      <c r="L52" s="47"/>
      <c r="M52" s="47"/>
      <c r="N52" s="47"/>
      <c r="O52" s="43"/>
      <c r="P52" s="43"/>
    </row>
    <row r="53" spans="1:16" ht="13" x14ac:dyDescent="0.3">
      <c r="A53" s="43"/>
      <c r="B53" s="56"/>
      <c r="C53" s="56"/>
      <c r="D53" s="56"/>
      <c r="E53" s="56"/>
      <c r="F53" s="56"/>
      <c r="G53" s="56"/>
      <c r="H53" s="56"/>
      <c r="I53" s="56"/>
      <c r="J53" s="56"/>
      <c r="K53" s="56"/>
      <c r="L53" s="56"/>
      <c r="M53" s="56"/>
      <c r="N53" s="56"/>
      <c r="O53" s="43"/>
      <c r="P53" s="43"/>
    </row>
    <row r="54" spans="1:16" ht="13" x14ac:dyDescent="0.3">
      <c r="A54" s="43"/>
      <c r="B54" s="43"/>
      <c r="C54" s="43"/>
      <c r="D54" s="43"/>
      <c r="E54" s="43"/>
      <c r="F54" s="43"/>
      <c r="G54" s="43"/>
      <c r="H54" s="43"/>
      <c r="I54" s="43"/>
      <c r="J54" s="43"/>
      <c r="K54" s="43"/>
      <c r="L54" s="43"/>
      <c r="M54" s="43"/>
      <c r="N54" s="43"/>
      <c r="O54" s="43"/>
      <c r="P54" s="43"/>
    </row>
    <row r="55" spans="1:16" ht="13" x14ac:dyDescent="0.3">
      <c r="A55" s="43"/>
      <c r="B55" s="43"/>
      <c r="C55" s="43"/>
      <c r="D55" s="43"/>
      <c r="E55" s="43"/>
      <c r="F55" s="43"/>
      <c r="G55" s="43"/>
      <c r="H55" s="43"/>
      <c r="I55" s="43"/>
      <c r="J55" s="43"/>
      <c r="K55" s="43"/>
      <c r="L55" s="43"/>
      <c r="M55" s="43"/>
      <c r="N55" s="43"/>
      <c r="O55" s="43"/>
      <c r="P55" s="4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Start</vt:lpstr>
      <vt:lpstr>RegionTemp</vt:lpstr>
      <vt:lpstr>Instructions</vt:lpstr>
      <vt:lpstr>MRegion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 Pandey C</dc:creator>
  <cp:lastModifiedBy>Abhishek Pandey C</cp:lastModifiedBy>
  <dcterms:created xsi:type="dcterms:W3CDTF">2022-03-12T12:34:44Z</dcterms:created>
  <dcterms:modified xsi:type="dcterms:W3CDTF">2022-03-17T16:51:14Z</dcterms:modified>
</cp:coreProperties>
</file>